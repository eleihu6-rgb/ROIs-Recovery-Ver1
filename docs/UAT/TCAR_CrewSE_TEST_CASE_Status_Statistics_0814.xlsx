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s/Library/Mobile Documents/com~apple~CloudDocs/Projects/Flair/UAT/"/>
    </mc:Choice>
  </mc:AlternateContent>
  <xr:revisionPtr revIDLastSave="0" documentId="8_{F53F7AA5-821A-344C-9337-961062935D3A}" xr6:coauthVersionLast="47" xr6:coauthVersionMax="47" xr10:uidLastSave="{00000000-0000-0000-0000-000000000000}"/>
  <bookViews>
    <workbookView xWindow="-1000" yWindow="-24660" windowWidth="38620" windowHeight="21100" activeTab="1" xr2:uid="{00000000-000D-0000-FFFF-FFFF00000000}"/>
  </bookViews>
  <sheets>
    <sheet name="Pie Chart" sheetId="3" r:id="rId1"/>
    <sheet name="DP-A TCAR UAT Summary" sheetId="1" r:id="rId2"/>
    <sheet name="Check List" sheetId="5" r:id="rId3"/>
    <sheet name="Calendar Checklist Overvie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5" i="3"/>
  <c r="B4" i="3"/>
  <c r="C29" i="1"/>
  <c r="B3" i="3" s="1"/>
  <c r="F29" i="1"/>
  <c r="J29" i="1"/>
  <c r="I29" i="1"/>
  <c r="E29" i="1"/>
  <c r="D29" i="1"/>
  <c r="B29" i="1"/>
</calcChain>
</file>

<file path=xl/sharedStrings.xml><?xml version="1.0" encoding="utf-8"?>
<sst xmlns="http://schemas.openxmlformats.org/spreadsheetml/2006/main" count="336" uniqueCount="168">
  <si>
    <t>Tab</t>
  </si>
  <si>
    <t>Total Test Cases</t>
  </si>
  <si>
    <t>Passed</t>
  </si>
  <si>
    <t>Failed</t>
  </si>
  <si>
    <t>Not Tested</t>
  </si>
  <si>
    <t>Pass Rate %</t>
  </si>
  <si>
    <t>Definition and Recurrent extent</t>
  </si>
  <si>
    <t/>
  </si>
  <si>
    <t>FRMS</t>
  </si>
  <si>
    <t>Rules</t>
  </si>
  <si>
    <t>B,X,D</t>
  </si>
  <si>
    <t>Split duty</t>
  </si>
  <si>
    <t>Limit FT and DP</t>
  </si>
  <si>
    <t>RERRP</t>
  </si>
  <si>
    <t>RO</t>
  </si>
  <si>
    <t>RO Cabin</t>
  </si>
  <si>
    <t>RO Pilot</t>
  </si>
  <si>
    <t>Reserve&amp;OFF</t>
  </si>
  <si>
    <t>VACATION</t>
  </si>
  <si>
    <t>REPORT</t>
  </si>
  <si>
    <t>TG910-911(5 LOCAL NIGHT)</t>
  </si>
  <si>
    <t>TG491-492 (2 LOCAL  NIGHT)</t>
  </si>
  <si>
    <t>TRAINING</t>
  </si>
  <si>
    <t>Eastward Westward</t>
  </si>
  <si>
    <t>TG491-492 (1 LOCAL  NIGHT)</t>
  </si>
  <si>
    <t>TG910-911(2 LOCAL NIGHT)</t>
  </si>
  <si>
    <t>TG910-911(1 LOCAL NIGHT)</t>
  </si>
  <si>
    <t>TG517-518(1 LOCAL NIGHT)</t>
  </si>
  <si>
    <t>TG517-518(2 LOCAL NIGHT)</t>
  </si>
  <si>
    <t>TG658-659(1 LOCAL NIGHT)</t>
  </si>
  <si>
    <t>TG020-021-106-107</t>
  </si>
  <si>
    <t>RTAF212 (1 LOCAL NIGHT)</t>
  </si>
  <si>
    <t>TG658-659(4 LOCAL NIGHT)</t>
  </si>
  <si>
    <t>TOTAL</t>
  </si>
  <si>
    <t>Count</t>
  </si>
  <si>
    <t>Status</t>
  </si>
  <si>
    <t>Last update date</t>
  </si>
  <si>
    <t>Ready for Re-test</t>
  </si>
  <si>
    <t>-</t>
  </si>
  <si>
    <t>Test Rate %</t>
  </si>
  <si>
    <t>Rois Owner</t>
  </si>
  <si>
    <t>Ninan</t>
  </si>
  <si>
    <t>Aspen</t>
  </si>
  <si>
    <t>Aska</t>
  </si>
  <si>
    <r>
      <t xml:space="preserve">Pending on </t>
    </r>
    <r>
      <rPr>
        <b/>
        <sz val="11"/>
        <color rgb="FF7030A0"/>
        <rFont val="Calibri"/>
        <family val="2"/>
      </rPr>
      <t>DPA</t>
    </r>
  </si>
  <si>
    <r>
      <t xml:space="preserve">Pending on </t>
    </r>
    <r>
      <rPr>
        <b/>
        <sz val="11"/>
        <color rgb="FFFF7C80"/>
        <rFont val="Calibri"/>
        <family val="2"/>
      </rPr>
      <t>Rois</t>
    </r>
  </si>
  <si>
    <t>DPA TCAR UAT Round2</t>
  </si>
  <si>
    <t>Under Fix</t>
  </si>
  <si>
    <t>TG TCAR UAT Round 2</t>
  </si>
  <si>
    <t>2026 - DP-A UAT Calendar</t>
  </si>
  <si>
    <t>Mon</t>
  </si>
  <si>
    <t>Tue</t>
  </si>
  <si>
    <t>Wed</t>
  </si>
  <si>
    <t>Thu</t>
  </si>
  <si>
    <t>Fri</t>
  </si>
  <si>
    <t>Sat</t>
  </si>
  <si>
    <t>Sun</t>
  </si>
  <si>
    <t>1</t>
  </si>
  <si>
    <t>2</t>
  </si>
  <si>
    <t>Aug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</si>
  <si>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</si>
  <si>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</si>
  <si>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</si>
  <si>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</si>
  <si>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</si>
  <si>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</si>
  <si>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</si>
  <si>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</si>
  <si>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</si>
  <si>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</si>
  <si>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</si>
  <si>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</si>
  <si>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</si>
  <si>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</si>
  <si>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</si>
  <si>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</si>
  <si>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 xml:space="preserve">19
Deadline: record latest test results
</t>
  </si>
  <si>
    <t xml:space="preserve">20
Weekly Meeting: review latest results
</t>
  </si>
  <si>
    <t>21</t>
  </si>
  <si>
    <t>22</t>
  </si>
  <si>
    <t>23</t>
  </si>
  <si>
    <t xml:space="preserve">24
RO UAT focus begins
 </t>
  </si>
  <si>
    <t xml:space="preserve">25
RO UAT focus
 </t>
  </si>
  <si>
    <t xml:space="preserve">26
RO UAT focus`nPublish RO UAT Sep target
</t>
  </si>
  <si>
    <t xml:space="preserve">27
RO UAT focus
Weekly Meeting: review latest results
</t>
  </si>
  <si>
    <t xml:space="preserve">28
RO UAT focus`nDeadline: update RO UAT results
 </t>
  </si>
  <si>
    <t>29</t>
  </si>
  <si>
    <t>30</t>
  </si>
  <si>
    <t xml:space="preserve">31
Create UAT Oct pairing + run RO
 </t>
  </si>
  <si>
    <t>Sep</t>
  </si>
  <si>
    <t xml:space="preserve">1
Create UAT Oct pairing + run RO
 </t>
  </si>
  <si>
    <t xml:space="preserve">2
Create UAT Oct pairing + run RO
 </t>
  </si>
  <si>
    <t xml:space="preserve">3
Create UAT Oct pairing + run RO
 </t>
  </si>
  <si>
    <t xml:space="preserve">4
RO execution`nDeadline: record all RO results
 </t>
  </si>
  <si>
    <t xml:space="preserve">7
Round 2-3 UAT testing
 </t>
  </si>
  <si>
    <t xml:space="preserve">8
Round 2-3 UAT testing
 </t>
  </si>
  <si>
    <t xml:space="preserve">9
Round 2-3 UAT testing
 </t>
  </si>
  <si>
    <t xml:space="preserve">10
Round 2-3 UAT testing
 </t>
  </si>
  <si>
    <t xml:space="preserve">11
Round 2-3 UAT testing`nDeadline: record all results
 </t>
  </si>
  <si>
    <t xml:space="preserve">14
Publish UAT Oct 2026 schedule
 </t>
  </si>
  <si>
    <t>19</t>
  </si>
  <si>
    <t>20</t>
  </si>
  <si>
    <t xml:space="preserve">22
Create UAT Nov 2026 pairing
 </t>
  </si>
  <si>
    <t xml:space="preserve">23
Create UAT Nov 2026 pairing
 </t>
  </si>
  <si>
    <t xml:space="preserve">24
Create UAT Nov 2026 pairing
 </t>
  </si>
  <si>
    <t xml:space="preserve">25
RO UAT Nov + final rules/RO check
 </t>
  </si>
  <si>
    <t xml:space="preserve">26
RO UAT Nov + final rules/RO check
 </t>
  </si>
  <si>
    <t xml:space="preserve">27
RO UAT Nov + final rules/RO check
 </t>
  </si>
  <si>
    <t xml:space="preserve">28
RO UAT Nov + final rules/RO check
 </t>
  </si>
  <si>
    <t xml:space="preserve">29
RO UAT Nov + final rules/RO check
 </t>
  </si>
  <si>
    <t xml:space="preserve">30
Final acceptance checkpoint`nPublish UAT Nov 2027 schedule
 </t>
  </si>
  <si>
    <t>Oct</t>
  </si>
  <si>
    <t xml:space="preserve">1
Production deployment: TCAR Nov 2026
 </t>
  </si>
  <si>
    <t>24</t>
  </si>
  <si>
    <t>25</t>
  </si>
  <si>
    <t>26</t>
  </si>
  <si>
    <t>27</t>
  </si>
  <si>
    <t>28</t>
  </si>
  <si>
    <t>31</t>
  </si>
  <si>
    <t>Date / Period</t>
  </si>
  <si>
    <t>Activity</t>
  </si>
  <si>
    <t>Reminder / Deliverable</t>
  </si>
  <si>
    <t>Owner / Focus</t>
  </si>
  <si>
    <t>By 19 Aug 2026</t>
  </si>
  <si>
    <t>Record latest test results</t>
  </si>
  <si>
    <t>Record latest results for test cases that previously passed but have now failed again, in preparation for the meeting on 20 Aug.</t>
  </si>
  <si>
    <t>All test owners</t>
  </si>
  <si>
    <t>Not Started</t>
  </si>
  <si>
    <t>Use the updated latest test-result record as meeting input.</t>
  </si>
  <si>
    <t>Project team</t>
  </si>
  <si>
    <t>24-28 Aug 2026</t>
  </si>
  <si>
    <t>Focus on RO UAT</t>
  </si>
  <si>
    <t>Everyone should focus on RO UAT while Ninan is onsite.</t>
  </si>
  <si>
    <t>All UAT members</t>
  </si>
  <si>
    <t>Publish RO UAT Sep 2026 target</t>
  </si>
  <si>
    <t>Publish the RO UAT Sep 2026 target so OP-1 can proceed with SWAP testing.</t>
  </si>
  <si>
    <t>By 28 Aug 2026</t>
  </si>
  <si>
    <t>Update RO UAT results</t>
  </si>
  <si>
    <t>Record the new RO results in the UAT test cases.</t>
  </si>
  <si>
    <t>31 Aug-4 Sep 2026</t>
  </si>
  <si>
    <t>UAT Oct 2026 pairing and RO execution</t>
  </si>
  <si>
    <t>Create the UAT Oct 2026 pairing and run RO testing.</t>
  </si>
  <si>
    <t>By 4 Sep 2026</t>
  </si>
  <si>
    <t>Complete RO result recording</t>
  </si>
  <si>
    <t>Complete and record all RO results.</t>
  </si>
  <si>
    <t>7-11 Sep 2026</t>
  </si>
  <si>
    <t>Round 2-3 UAT testing</t>
  </si>
  <si>
    <t>Focus on testing other UAT areas in Round 2-3 and record all results.</t>
  </si>
  <si>
    <t>By 11 Sep 2026</t>
  </si>
  <si>
    <t>Complete Round 2-3 results</t>
  </si>
  <si>
    <t>Record all Round 2-3 UAT results.</t>
  </si>
  <si>
    <t>Publish UAT Oct 2026 schedule</t>
  </si>
  <si>
    <t>Publish the UAT Oct 2026 schedule.</t>
  </si>
  <si>
    <t>DP-A team</t>
  </si>
  <si>
    <t>22-24 Sep 2026</t>
  </si>
  <si>
    <t>Create UAT Nov 2026 pairing</t>
  </si>
  <si>
    <t>Create the UAT Nov 2026 pairing.</t>
  </si>
  <si>
    <t>25-30 Sep 2026</t>
  </si>
  <si>
    <t>RO UAT Nov 2026 and final acceptance</t>
  </si>
  <si>
    <t>Run RO UAT for Nov 2026. During this period, perform the final check of all rules and RO results. This is the final acceptance checkpoint.</t>
  </si>
  <si>
    <t>Publish UAT Nov 2027 schedule</t>
  </si>
  <si>
    <t>Publish the UAT Nov 2027 schedule as stated in the agenda.</t>
  </si>
  <si>
    <t>Production deployment - TCAR Nov 2026</t>
  </si>
  <si>
    <t>Pi team deploys TCAR to production for Nov 2026. DP-A team shifts focus to TCAR production for Nov 2026.</t>
  </si>
  <si>
    <t>Pi team / DP-A team</t>
  </si>
  <si>
    <t>Weekly Meeting - Latest results review</t>
  </si>
  <si>
    <t>DPA team</t>
  </si>
  <si>
    <t>DPA / OP-1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</si>
</sst>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7030A0"/>
      <name val="Calibri"/>
      <family val="2"/>
    </font>
    <font>
      <b/>
      <sz val="12"/>
      <name val="Calibri"/>
      <family val="2"/>
    </font>
    <font>
      <b/>
      <sz val="11"/>
      <color rgb="FFFF7C80"/>
      <name val="Calibri"/>
      <family val="2"/>
    </font>
    <font>
      <b/>
      <sz val="14"/>
      <name val="Calibri"/>
      <family val="2"/>
    </font>
    <font>
      <b/>
      <sz val="18"/>
      <name val="Calibri"/>
      <family val="2"/>
    </font>
    <font>
      <sz val="10"/>
      <name val="Calibri"/>
      <family val="2"/>
    </font>
    <font>
      <b/>
      <sz val="15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FFFFFF"/>
      <name val="Aptos"/>
      <family val="2"/>
    </font>
    <font>
      <sz val="10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</borders>
  <cellStyleXfs count="2">
    <xf numFmtId="0" fontId="0" fillId="0" borderId="0"/>
    <xf numFmtId="0" fontId="9" fillId="0" borderId="0"/>
  </cellStyleXfs>
  <cellXfs count="55">
    <xf numFmtId="0" fontId="0" fillId="0" borderId="0" xfId="0"/>
    <xf numFmtId="0" fontId="0" fillId="0" borderId="1" xfId="0" applyBorder="1"/>
    <xf numFmtId="0" fontId="2" fillId="0" borderId="1" xfId="0" applyFont="1" applyBorder="1"/>
    <xf numFmtId="10" fontId="0" fillId="0" borderId="1" xfId="0" applyNumberFormat="1" applyBorder="1"/>
    <xf numFmtId="0" fontId="0" fillId="2" borderId="1" xfId="0" applyFill="1" applyBorder="1"/>
    <xf numFmtId="0" fontId="2" fillId="2" borderId="1" xfId="0" applyFont="1" applyFill="1" applyBorder="1"/>
    <xf numFmtId="9" fontId="0" fillId="2" borderId="1" xfId="0" applyNumberFormat="1" applyFill="1" applyBorder="1"/>
    <xf numFmtId="1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/>
    <xf numFmtId="10" fontId="0" fillId="2" borderId="1" xfId="0" applyNumberFormat="1" applyFill="1" applyBorder="1"/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1" xfId="0" applyFont="1" applyFill="1" applyBorder="1"/>
    <xf numFmtId="0" fontId="3" fillId="0" borderId="1" xfId="0" applyFont="1" applyBorder="1"/>
    <xf numFmtId="10" fontId="2" fillId="0" borderId="1" xfId="0" applyNumberFormat="1" applyFont="1" applyBorder="1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3" fillId="2" borderId="5" xfId="0" applyFont="1" applyFill="1" applyBorder="1"/>
    <xf numFmtId="0" fontId="5" fillId="0" borderId="1" xfId="0" applyFont="1" applyBorder="1"/>
    <xf numFmtId="0" fontId="9" fillId="0" borderId="0" xfId="1"/>
    <xf numFmtId="0" fontId="11" fillId="4" borderId="9" xfId="1" applyFont="1" applyFill="1" applyBorder="1" applyAlignment="1">
      <alignment horizontal="center" vertical="center" wrapText="1"/>
    </xf>
    <xf numFmtId="0" fontId="9" fillId="5" borderId="9" xfId="1" applyFill="1" applyBorder="1" applyAlignment="1">
      <alignment vertical="top" wrapText="1"/>
    </xf>
    <xf numFmtId="0" fontId="9" fillId="6" borderId="9" xfId="1" applyFill="1" applyBorder="1" applyAlignment="1">
      <alignment vertical="top" wrapText="1"/>
    </xf>
    <xf numFmtId="0" fontId="9" fillId="6" borderId="10" xfId="1" applyFill="1" applyBorder="1" applyAlignment="1">
      <alignment vertical="top" wrapText="1"/>
    </xf>
    <xf numFmtId="0" fontId="9" fillId="7" borderId="9" xfId="1" applyFill="1" applyBorder="1" applyAlignment="1">
      <alignment vertical="top" wrapText="1"/>
    </xf>
    <xf numFmtId="0" fontId="9" fillId="8" borderId="9" xfId="1" applyFill="1" applyBorder="1" applyAlignment="1">
      <alignment vertical="top" wrapText="1"/>
    </xf>
    <xf numFmtId="0" fontId="9" fillId="9" borderId="9" xfId="1" applyFill="1" applyBorder="1" applyAlignment="1">
      <alignment vertical="top" wrapText="1"/>
    </xf>
    <xf numFmtId="0" fontId="11" fillId="4" borderId="10" xfId="1" applyFont="1" applyFill="1" applyBorder="1" applyAlignment="1">
      <alignment horizontal="center" vertical="center" wrapText="1"/>
    </xf>
    <xf numFmtId="0" fontId="9" fillId="10" borderId="9" xfId="1" applyFill="1" applyBorder="1" applyAlignment="1">
      <alignment vertical="top" wrapText="1"/>
    </xf>
    <xf numFmtId="0" fontId="9" fillId="10" borderId="10" xfId="1" applyFill="1" applyBorder="1" applyAlignment="1">
      <alignment vertical="top" wrapText="1"/>
    </xf>
    <xf numFmtId="0" fontId="9" fillId="11" borderId="9" xfId="1" applyFill="1" applyBorder="1" applyAlignment="1">
      <alignment vertical="top" wrapText="1"/>
    </xf>
    <xf numFmtId="0" fontId="13" fillId="4" borderId="12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vertical="center" wrapText="1"/>
    </xf>
    <xf numFmtId="0" fontId="14" fillId="9" borderId="13" xfId="0" applyFont="1" applyFill="1" applyBorder="1" applyAlignment="1">
      <alignment vertical="center" wrapText="1"/>
    </xf>
    <xf numFmtId="0" fontId="14" fillId="12" borderId="13" xfId="0" applyFont="1" applyFill="1" applyBorder="1" applyAlignment="1">
      <alignment vertical="center" wrapText="1"/>
    </xf>
    <xf numFmtId="0" fontId="14" fillId="10" borderId="13" xfId="0" applyFont="1" applyFill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14" fillId="8" borderId="13" xfId="0" applyFont="1" applyFill="1" applyBorder="1" applyAlignment="1">
      <alignment horizontal="left" vertical="center" wrapText="1"/>
    </xf>
    <xf numFmtId="15" fontId="14" fillId="9" borderId="13" xfId="0" applyNumberFormat="1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15" fontId="14" fillId="8" borderId="13" xfId="0" applyNumberFormat="1" applyFont="1" applyFill="1" applyBorder="1" applyAlignment="1">
      <alignment horizontal="left" vertical="center" wrapText="1"/>
    </xf>
    <xf numFmtId="15" fontId="14" fillId="13" borderId="13" xfId="0" applyNumberFormat="1" applyFont="1" applyFill="1" applyBorder="1" applyAlignment="1">
      <alignment horizontal="left" vertical="center" wrapText="1"/>
    </xf>
    <xf numFmtId="0" fontId="10" fillId="0" borderId="8" xfId="1" applyFont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" fontId="0" fillId="0" borderId="2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</cellXfs>
  <cellStyles count="2">
    <cellStyle name="Normal" xfId="0" builtinId="0"/>
    <cellStyle name="Normal 2" xfId="1" xr:uid="{31CE66A9-4CF1-4B76-B67C-01E6BA704B92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TCAR UAT Test Case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35B-4E1E-A171-2D2271F37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35B-4E1E-A171-2D2271F37D1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5B-4E1E-A171-2D2271F37D11}"/>
              </c:ext>
            </c:extLst>
          </c:dPt>
          <c:dLbls>
            <c:dLbl>
              <c:idx val="0"/>
              <c:layout>
                <c:manualLayout>
                  <c:x val="1.8274225984906141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E70410-5D0E-4E6F-9214-79D72FBE760F}" type="CATEGORYNAME">
                      <a:rPr lang="en-US">
                        <a:solidFill>
                          <a:srgbClr val="00B050"/>
                        </a:solidFill>
                      </a:rPr>
                      <a:pPr>
                        <a:defRPr/>
                      </a:pPr>
                      <a:t>[CATEGORY NAME]</a:t>
                    </a:fld>
                    <a:r>
                      <a:rPr lang="en-US" baseline="0">
                        <a:solidFill>
                          <a:srgbClr val="00B050"/>
                        </a:solidFill>
                      </a:rPr>
                      <a:t>
</a:t>
                    </a:r>
                    <a:fld id="{E42F918C-3DA5-449C-9FA9-74FBF7AE014A}" type="PERCENTAGE">
                      <a:rPr lang="en-US" baseline="0">
                        <a:solidFill>
                          <a:srgbClr val="00B050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US" baseline="0">
                      <a:solidFill>
                        <a:srgbClr val="00B05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784979449589667"/>
                      <c:h val="8.613401401177496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35B-4E1E-A171-2D2271F37D11}"/>
                </c:ext>
              </c:extLst>
            </c:dLbl>
            <c:dLbl>
              <c:idx val="1"/>
              <c:layout>
                <c:manualLayout>
                  <c:x val="3.8850536796395087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C73D86-8434-45EE-B82A-D96DA3996F07}" type="CATEGORYNAME">
                      <a:rPr lang="en-US">
                        <a:solidFill>
                          <a:schemeClr val="accent2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accent2"/>
                        </a:solidFill>
                      </a:rPr>
                      <a:t>
</a:t>
                    </a:r>
                    <a:fld id="{A0C3B822-9D09-4EDE-8CB1-B8BC1AB84297}" type="PERCENTAGE">
                      <a:rPr lang="en-US" baseline="0">
                        <a:solidFill>
                          <a:schemeClr val="accent2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accent2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92218237425721"/>
                      <c:h val="8.613401401177496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35B-4E1E-A171-2D2271F37D11}"/>
                </c:ext>
              </c:extLst>
            </c:dLbl>
            <c:dLbl>
              <c:idx val="2"/>
              <c:layout>
                <c:manualLayout>
                  <c:x val="-3.8832730217925562E-2"/>
                  <c:y val="9.427290844046760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DB41D9F-7A28-4235-B8E3-3309DDF66D34}" type="CATEGORYNAME">
                      <a:rPr lang="en-US">
                        <a:solidFill>
                          <a:srgbClr val="FFC000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rgbClr val="FFC000"/>
                        </a:solidFill>
                      </a:rPr>
                      <a:t>
</a:t>
                    </a:r>
                    <a:fld id="{5C436442-59C8-4EE8-AAB1-EEC57AB00925}" type="PERCENTAGE">
                      <a:rPr lang="en-US" baseline="0">
                        <a:solidFill>
                          <a:srgbClr val="FFC000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rgbClr val="FFC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35B-4E1E-A171-2D2271F37D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Chart'!$A$3:$A$5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Not Tested</c:v>
                </c:pt>
              </c:strCache>
            </c:strRef>
          </c:cat>
          <c:val>
            <c:numRef>
              <c:f>'Pie Chart'!$B$3:$B$5</c:f>
              <c:numCache>
                <c:formatCode>General</c:formatCode>
                <c:ptCount val="3"/>
                <c:pt idx="0">
                  <c:v>67</c:v>
                </c:pt>
                <c:pt idx="1">
                  <c:v>70</c:v>
                </c:pt>
                <c:pt idx="2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B-4E1E-A171-2D2271F37D1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Failed Case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79-40C0-983B-8828E03F4A8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279-40C0-983B-8828E03F4A82}"/>
              </c:ext>
            </c:extLst>
          </c:dPt>
          <c:dLbls>
            <c:dLbl>
              <c:idx val="0"/>
              <c:layout>
                <c:manualLayout>
                  <c:x val="6.7141255503194816E-2"/>
                  <c:y val="-1.244361487011977E-2"/>
                </c:manualLayout>
              </c:layout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79-40C0-983B-8828E03F4A82}"/>
                </c:ext>
              </c:extLst>
            </c:dLbl>
            <c:dLbl>
              <c:idx val="1"/>
              <c:layout>
                <c:manualLayout>
                  <c:x val="-2.6602557675304669E-2"/>
                  <c:y val="3.333688515253724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ln>
                          <a:noFill/>
                        </a:ln>
                        <a:solidFill>
                          <a:srgbClr val="00B050"/>
                        </a:solidFill>
                        <a:effectLst/>
                        <a:latin typeface="+mn-lt"/>
                        <a:ea typeface="+mn-ea"/>
                        <a:cs typeface="+mn-cs"/>
                      </a:defRPr>
                    </a:pPr>
                    <a:fld id="{7EDE2089-0340-4B52-A254-609B4DE479DB}" type="CATEGORYNAME">
                      <a:rPr lang="en-US">
                        <a:ln>
                          <a:noFill/>
                        </a:ln>
                        <a:solidFill>
                          <a:srgbClr val="00B050"/>
                        </a:solidFill>
                      </a:rPr>
                      <a:pPr>
                        <a:defRPr>
                          <a:ln>
                            <a:noFill/>
                          </a:ln>
                          <a:solidFill>
                            <a:srgbClr val="00B050"/>
                          </a:solidFill>
                          <a:effectLst/>
                        </a:defRPr>
                      </a:pPr>
                      <a:t>[CATEGORY NAME]</a:t>
                    </a:fld>
                    <a:r>
                      <a:rPr lang="en-US" baseline="0">
                        <a:ln>
                          <a:noFill/>
                        </a:ln>
                        <a:solidFill>
                          <a:srgbClr val="00B050"/>
                        </a:solidFill>
                      </a:rPr>
                      <a:t>
</a:t>
                    </a:r>
                    <a:fld id="{0145C89C-402B-44D7-A39A-79CB3C61BD21}" type="PERCENTAGE">
                      <a:rPr lang="en-US" baseline="0">
                        <a:ln>
                          <a:noFill/>
                        </a:ln>
                        <a:solidFill>
                          <a:srgbClr val="00B050"/>
                        </a:solidFill>
                      </a:rPr>
                      <a:pPr>
                        <a:defRPr>
                          <a:ln>
                            <a:noFill/>
                          </a:ln>
                          <a:solidFill>
                            <a:srgbClr val="00B050"/>
                          </a:solidFill>
                          <a:effectLst/>
                        </a:defRPr>
                      </a:pPr>
                      <a:t>[PERCENTAGE]</a:t>
                    </a:fld>
                    <a:endParaRPr lang="en-US" baseline="0">
                      <a:ln>
                        <a:noFill/>
                      </a:ln>
                      <a:solidFill>
                        <a:srgbClr val="00B05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schemeClr val="bg1">
                      <a:alpha val="40000"/>
                    </a:scheme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ln>
                        <a:noFill/>
                      </a:ln>
                      <a:solidFill>
                        <a:srgbClr val="00B05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26684228276618"/>
                      <c:h val="9.55632879067904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279-40C0-983B-8828E03F4A8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Chart'!$A$6:$A$7</c:f>
              <c:strCache>
                <c:ptCount val="2"/>
                <c:pt idx="0">
                  <c:v>Under Fix</c:v>
                </c:pt>
                <c:pt idx="1">
                  <c:v>Ready for Re-test</c:v>
                </c:pt>
              </c:strCache>
            </c:strRef>
          </c:cat>
          <c:val>
            <c:numRef>
              <c:f>'Pie Chart'!$B$6:$B$7</c:f>
              <c:numCache>
                <c:formatCode>General</c:formatCode>
                <c:ptCount val="2"/>
                <c:pt idx="0">
                  <c:v>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9-40C0-983B-8828E03F4A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79057</xdr:colOff>
      <xdr:row>1</xdr:row>
      <xdr:rowOff>48577</xdr:rowOff>
    </xdr:from>
    <xdr:to>
      <xdr:col>8</xdr:col>
      <xdr:colOff>830580</xdr:colOff>
      <xdr:row>23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2005C-8E92-C98E-CAD4-BCB0CCE33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191450</xdr:colOff>
      <xdr:row>1</xdr:row>
      <xdr:rowOff>59054</xdr:rowOff>
    </xdr:from>
    <xdr:to>
      <xdr:col>17</xdr:col>
      <xdr:colOff>91440</xdr:colOff>
      <xdr:row>23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CE281F-FA1A-DE5E-2B20-0E5D7736B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activeCell="D49" sqref="D49"/>
    </sheetView>
  </sheetViews>
  <sheetFormatPr baseColWidth="10" defaultColWidth="8.83203125" defaultRowHeight="15" x14ac:dyDescent="0.2"/>
  <cols>
    <col min="1" max="1" width="18" customWidth="1"/>
    <col min="2" max="2" width="13.5" customWidth="1"/>
    <col min="4" max="11" width="14" customWidth="1"/>
  </cols>
  <sheetData>
    <row r="1" spans="1:17" ht="24" x14ac:dyDescent="0.3">
      <c r="D1" s="49" t="s">
        <v>48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ht="16" x14ac:dyDescent="0.2">
      <c r="A2" s="21" t="s">
        <v>35</v>
      </c>
      <c r="B2" s="21" t="s">
        <v>34</v>
      </c>
    </row>
    <row r="3" spans="1:17" x14ac:dyDescent="0.2">
      <c r="A3" s="2" t="s">
        <v>2</v>
      </c>
      <c r="B3" s="1">
        <f>'DP-A TCAR UAT Summary'!C29</f>
        <v>67</v>
      </c>
    </row>
    <row r="4" spans="1:17" x14ac:dyDescent="0.2">
      <c r="A4" s="2" t="s">
        <v>3</v>
      </c>
      <c r="B4" s="1">
        <f>'DP-A TCAR UAT Summary'!D29</f>
        <v>70</v>
      </c>
    </row>
    <row r="5" spans="1:17" x14ac:dyDescent="0.2">
      <c r="A5" s="2" t="s">
        <v>4</v>
      </c>
      <c r="B5" s="1">
        <f>'DP-A TCAR UAT Summary'!E29</f>
        <v>407</v>
      </c>
    </row>
    <row r="6" spans="1:17" x14ac:dyDescent="0.2">
      <c r="A6" s="2" t="s">
        <v>47</v>
      </c>
      <c r="B6" s="1">
        <v>8</v>
      </c>
    </row>
    <row r="7" spans="1:17" x14ac:dyDescent="0.2">
      <c r="A7" s="2" t="s">
        <v>37</v>
      </c>
      <c r="B7" s="1">
        <f>'DP-A TCAR UAT Summary'!F29</f>
        <v>53</v>
      </c>
    </row>
  </sheetData>
  <mergeCells count="1">
    <mergeCell ref="D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20" zoomScaleNormal="120" workbookViewId="0">
      <pane xSplit="1" topLeftCell="B1" activePane="topRight" state="frozen"/>
      <selection pane="topRight" activeCell="M34" sqref="M34"/>
    </sheetView>
  </sheetViews>
  <sheetFormatPr baseColWidth="10" defaultColWidth="8.83203125" defaultRowHeight="15" x14ac:dyDescent="0.2"/>
  <cols>
    <col min="1" max="1" width="34" customWidth="1"/>
    <col min="2" max="2" width="16.5" customWidth="1"/>
    <col min="3" max="5" width="16" customWidth="1"/>
    <col min="6" max="6" width="18.5" customWidth="1"/>
    <col min="7" max="7" width="14.6640625" customWidth="1"/>
    <col min="8" max="8" width="20.83203125" customWidth="1"/>
    <col min="9" max="11" width="16" customWidth="1"/>
    <col min="12" max="12" width="28.5" customWidth="1"/>
    <col min="13" max="13" width="8.83203125" customWidth="1"/>
  </cols>
  <sheetData>
    <row r="1" spans="1:12" ht="20" thickBot="1" x14ac:dyDescent="0.3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x14ac:dyDescent="0.2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37</v>
      </c>
      <c r="G2" s="17" t="s">
        <v>5</v>
      </c>
      <c r="H2" s="18" t="s">
        <v>39</v>
      </c>
      <c r="I2" s="18" t="s">
        <v>45</v>
      </c>
      <c r="J2" s="18" t="s">
        <v>44</v>
      </c>
      <c r="K2" s="18" t="s">
        <v>40</v>
      </c>
      <c r="L2" s="17" t="s">
        <v>36</v>
      </c>
    </row>
    <row r="3" spans="1:12" x14ac:dyDescent="0.2">
      <c r="A3" s="2" t="s">
        <v>6</v>
      </c>
      <c r="B3" s="1">
        <v>8</v>
      </c>
      <c r="C3" s="1">
        <v>1</v>
      </c>
      <c r="D3" s="1">
        <v>0</v>
      </c>
      <c r="E3" s="1">
        <v>7</v>
      </c>
      <c r="F3" s="1">
        <v>0</v>
      </c>
      <c r="G3" s="3">
        <v>1</v>
      </c>
      <c r="H3" s="3">
        <v>0.125</v>
      </c>
      <c r="I3" s="15">
        <v>0</v>
      </c>
      <c r="J3" s="15">
        <v>7</v>
      </c>
      <c r="K3" s="19" t="s">
        <v>42</v>
      </c>
      <c r="L3" s="50">
        <v>46248</v>
      </c>
    </row>
    <row r="4" spans="1:12" x14ac:dyDescent="0.2">
      <c r="A4" s="5" t="s">
        <v>8</v>
      </c>
      <c r="B4" s="4">
        <v>27</v>
      </c>
      <c r="C4" s="4">
        <v>0</v>
      </c>
      <c r="D4" s="4">
        <v>27</v>
      </c>
      <c r="E4" s="4">
        <v>0</v>
      </c>
      <c r="F4" s="4">
        <v>18</v>
      </c>
      <c r="G4" s="6">
        <v>0</v>
      </c>
      <c r="H4" s="6">
        <v>1</v>
      </c>
      <c r="I4" s="14">
        <v>0</v>
      </c>
      <c r="J4" s="14">
        <v>27</v>
      </c>
      <c r="K4" s="20" t="s">
        <v>43</v>
      </c>
      <c r="L4" s="51"/>
    </row>
    <row r="5" spans="1:12" x14ac:dyDescent="0.2">
      <c r="A5" s="2" t="s">
        <v>9</v>
      </c>
      <c r="B5" s="1">
        <v>1</v>
      </c>
      <c r="C5" s="1">
        <v>0</v>
      </c>
      <c r="D5" s="1">
        <v>0</v>
      </c>
      <c r="E5" s="1">
        <v>1</v>
      </c>
      <c r="F5" s="7" t="s">
        <v>38</v>
      </c>
      <c r="G5" s="7" t="s">
        <v>38</v>
      </c>
      <c r="H5" s="12">
        <v>0</v>
      </c>
      <c r="I5" s="15">
        <v>0</v>
      </c>
      <c r="J5" s="15">
        <v>1</v>
      </c>
      <c r="K5" s="19" t="s">
        <v>42</v>
      </c>
      <c r="L5" s="51"/>
    </row>
    <row r="6" spans="1:12" x14ac:dyDescent="0.2">
      <c r="A6" s="5" t="s">
        <v>10</v>
      </c>
      <c r="B6" s="4">
        <v>13</v>
      </c>
      <c r="C6" s="4">
        <v>0</v>
      </c>
      <c r="D6" s="4">
        <v>0</v>
      </c>
      <c r="E6" s="4">
        <v>13</v>
      </c>
      <c r="F6" s="8" t="s">
        <v>38</v>
      </c>
      <c r="G6" s="8" t="s">
        <v>38</v>
      </c>
      <c r="H6" s="13">
        <v>0</v>
      </c>
      <c r="I6" s="4">
        <v>0</v>
      </c>
      <c r="J6" s="4">
        <v>13</v>
      </c>
      <c r="K6" s="20" t="s">
        <v>42</v>
      </c>
      <c r="L6" s="51"/>
    </row>
    <row r="7" spans="1:12" x14ac:dyDescent="0.2">
      <c r="A7" s="2" t="s">
        <v>11</v>
      </c>
      <c r="B7" s="1">
        <v>20</v>
      </c>
      <c r="C7" s="1">
        <v>0</v>
      </c>
      <c r="D7" s="1">
        <v>0</v>
      </c>
      <c r="E7" s="1">
        <v>20</v>
      </c>
      <c r="F7" s="7" t="s">
        <v>38</v>
      </c>
      <c r="G7" s="7" t="s">
        <v>38</v>
      </c>
      <c r="H7" s="12">
        <v>0</v>
      </c>
      <c r="I7" s="1">
        <v>0</v>
      </c>
      <c r="J7" s="1">
        <v>20</v>
      </c>
      <c r="K7" s="19" t="s">
        <v>42</v>
      </c>
      <c r="L7" s="51"/>
    </row>
    <row r="8" spans="1:12" x14ac:dyDescent="0.2">
      <c r="A8" s="5" t="s">
        <v>12</v>
      </c>
      <c r="B8" s="4">
        <v>13</v>
      </c>
      <c r="C8" s="4">
        <v>0</v>
      </c>
      <c r="D8" s="4">
        <v>0</v>
      </c>
      <c r="E8" s="4">
        <v>13</v>
      </c>
      <c r="F8" s="8" t="s">
        <v>38</v>
      </c>
      <c r="G8" s="8" t="s">
        <v>38</v>
      </c>
      <c r="H8" s="13">
        <v>0</v>
      </c>
      <c r="I8" s="4">
        <v>0</v>
      </c>
      <c r="J8" s="4">
        <v>13</v>
      </c>
      <c r="K8" s="20" t="s">
        <v>42</v>
      </c>
      <c r="L8" s="51"/>
    </row>
    <row r="9" spans="1:12" x14ac:dyDescent="0.2">
      <c r="A9" s="2" t="s">
        <v>13</v>
      </c>
      <c r="B9" s="1">
        <v>14</v>
      </c>
      <c r="C9" s="1">
        <v>1</v>
      </c>
      <c r="D9" s="1">
        <v>0</v>
      </c>
      <c r="E9" s="1">
        <v>13</v>
      </c>
      <c r="F9" s="7" t="s">
        <v>38</v>
      </c>
      <c r="G9" s="3">
        <v>1</v>
      </c>
      <c r="H9" s="3">
        <v>7.1400000000000005E-2</v>
      </c>
      <c r="I9" s="1">
        <v>0</v>
      </c>
      <c r="J9" s="1">
        <v>13</v>
      </c>
      <c r="K9" s="19" t="s">
        <v>42</v>
      </c>
      <c r="L9" s="51"/>
    </row>
    <row r="10" spans="1:12" x14ac:dyDescent="0.2">
      <c r="A10" s="5" t="s">
        <v>14</v>
      </c>
      <c r="B10" s="4">
        <v>17</v>
      </c>
      <c r="C10" s="4">
        <v>0</v>
      </c>
      <c r="D10" s="4">
        <v>17</v>
      </c>
      <c r="E10" s="4">
        <v>0</v>
      </c>
      <c r="F10" s="4">
        <v>16</v>
      </c>
      <c r="G10" s="6">
        <v>0</v>
      </c>
      <c r="H10" s="6">
        <v>1</v>
      </c>
      <c r="I10" s="14">
        <v>1</v>
      </c>
      <c r="J10" s="4">
        <v>16</v>
      </c>
      <c r="K10" s="20" t="s">
        <v>41</v>
      </c>
      <c r="L10" s="51"/>
    </row>
    <row r="11" spans="1:12" x14ac:dyDescent="0.2">
      <c r="A11" s="2" t="s">
        <v>15</v>
      </c>
      <c r="B11" s="1">
        <v>62</v>
      </c>
      <c r="C11" s="1">
        <v>40</v>
      </c>
      <c r="D11" s="1">
        <v>22</v>
      </c>
      <c r="E11" s="1">
        <v>0</v>
      </c>
      <c r="F11" s="1">
        <v>15</v>
      </c>
      <c r="G11" s="3">
        <v>0.64500000000000002</v>
      </c>
      <c r="H11" s="9">
        <v>1</v>
      </c>
      <c r="I11" s="15">
        <v>7</v>
      </c>
      <c r="J11" s="15">
        <v>15</v>
      </c>
      <c r="K11" s="19" t="s">
        <v>41</v>
      </c>
      <c r="L11" s="51"/>
    </row>
    <row r="12" spans="1:12" x14ac:dyDescent="0.2">
      <c r="A12" s="5" t="s">
        <v>16</v>
      </c>
      <c r="B12" s="4">
        <v>68</v>
      </c>
      <c r="C12" s="4">
        <v>24</v>
      </c>
      <c r="D12" s="4">
        <v>4</v>
      </c>
      <c r="E12" s="4">
        <v>40</v>
      </c>
      <c r="F12" s="4">
        <v>4</v>
      </c>
      <c r="G12" s="10">
        <v>0.85699999999999998</v>
      </c>
      <c r="H12" s="10">
        <v>0.41099999999999998</v>
      </c>
      <c r="I12" s="14">
        <v>0</v>
      </c>
      <c r="J12" s="14">
        <v>44</v>
      </c>
      <c r="K12" s="20" t="s">
        <v>41</v>
      </c>
      <c r="L12" s="51"/>
    </row>
    <row r="13" spans="1:12" x14ac:dyDescent="0.2">
      <c r="A13" s="2" t="s">
        <v>17</v>
      </c>
      <c r="B13" s="1">
        <v>10</v>
      </c>
      <c r="C13" s="1">
        <v>0</v>
      </c>
      <c r="D13" s="1">
        <v>0</v>
      </c>
      <c r="E13" s="1">
        <v>10</v>
      </c>
      <c r="F13" s="11" t="s">
        <v>38</v>
      </c>
      <c r="G13" s="11" t="s">
        <v>38</v>
      </c>
      <c r="H13" s="9">
        <v>0</v>
      </c>
      <c r="I13" s="1">
        <v>0</v>
      </c>
      <c r="J13" s="1">
        <v>10</v>
      </c>
      <c r="K13" s="19" t="s">
        <v>42</v>
      </c>
      <c r="L13" s="51"/>
    </row>
    <row r="14" spans="1:12" x14ac:dyDescent="0.2">
      <c r="A14" s="5" t="s">
        <v>18</v>
      </c>
      <c r="B14" s="4">
        <v>14</v>
      </c>
      <c r="C14" s="4">
        <v>0</v>
      </c>
      <c r="D14" s="4">
        <v>0</v>
      </c>
      <c r="E14" s="4">
        <v>14</v>
      </c>
      <c r="F14" s="8" t="s">
        <v>38</v>
      </c>
      <c r="G14" s="8" t="s">
        <v>38</v>
      </c>
      <c r="H14" s="13">
        <v>0</v>
      </c>
      <c r="I14" s="4">
        <v>0</v>
      </c>
      <c r="J14" s="4">
        <v>14</v>
      </c>
      <c r="K14" s="20" t="s">
        <v>42</v>
      </c>
      <c r="L14" s="51"/>
    </row>
    <row r="15" spans="1:12" x14ac:dyDescent="0.2">
      <c r="A15" s="2" t="s">
        <v>19</v>
      </c>
      <c r="B15" s="1">
        <v>52</v>
      </c>
      <c r="C15" s="1">
        <v>1</v>
      </c>
      <c r="D15" s="1">
        <v>0</v>
      </c>
      <c r="E15" s="1">
        <v>51</v>
      </c>
      <c r="F15" s="11" t="s">
        <v>38</v>
      </c>
      <c r="G15" s="3">
        <v>1</v>
      </c>
      <c r="H15" s="3">
        <v>1.9E-2</v>
      </c>
      <c r="I15" s="1">
        <v>0</v>
      </c>
      <c r="J15" s="1">
        <v>51</v>
      </c>
      <c r="K15" s="19" t="s">
        <v>43</v>
      </c>
      <c r="L15" s="51"/>
    </row>
    <row r="16" spans="1:12" x14ac:dyDescent="0.2">
      <c r="A16" s="5" t="s">
        <v>20</v>
      </c>
      <c r="B16" s="4">
        <v>19</v>
      </c>
      <c r="C16" s="4">
        <v>0</v>
      </c>
      <c r="D16" s="4">
        <v>0</v>
      </c>
      <c r="E16" s="4">
        <v>19</v>
      </c>
      <c r="F16" s="8" t="s">
        <v>38</v>
      </c>
      <c r="G16" s="8" t="s">
        <v>38</v>
      </c>
      <c r="H16" s="13">
        <v>0</v>
      </c>
      <c r="I16" s="4">
        <v>0</v>
      </c>
      <c r="J16" s="4">
        <v>19</v>
      </c>
      <c r="K16" s="20" t="s">
        <v>42</v>
      </c>
      <c r="L16" s="51"/>
    </row>
    <row r="17" spans="1:12" x14ac:dyDescent="0.2">
      <c r="A17" s="2" t="s">
        <v>21</v>
      </c>
      <c r="B17" s="1">
        <v>21</v>
      </c>
      <c r="C17" s="1">
        <v>0</v>
      </c>
      <c r="D17" s="1">
        <v>0</v>
      </c>
      <c r="E17" s="1">
        <v>21</v>
      </c>
      <c r="F17" s="11" t="s">
        <v>38</v>
      </c>
      <c r="G17" s="11" t="s">
        <v>38</v>
      </c>
      <c r="H17" s="9">
        <v>0</v>
      </c>
      <c r="I17" s="1">
        <v>0</v>
      </c>
      <c r="J17" s="1">
        <v>21</v>
      </c>
      <c r="K17" s="19" t="s">
        <v>42</v>
      </c>
      <c r="L17" s="51"/>
    </row>
    <row r="18" spans="1:12" x14ac:dyDescent="0.2">
      <c r="A18" s="5" t="s">
        <v>22</v>
      </c>
      <c r="B18" s="4">
        <v>12</v>
      </c>
      <c r="C18" s="4">
        <v>0</v>
      </c>
      <c r="D18" s="4">
        <v>0</v>
      </c>
      <c r="E18" s="4">
        <v>12</v>
      </c>
      <c r="F18" s="8" t="s">
        <v>38</v>
      </c>
      <c r="G18" s="8" t="s">
        <v>38</v>
      </c>
      <c r="H18" s="13">
        <v>0</v>
      </c>
      <c r="I18" s="4">
        <v>0</v>
      </c>
      <c r="J18" s="4">
        <v>12</v>
      </c>
      <c r="K18" s="20" t="s">
        <v>42</v>
      </c>
      <c r="L18" s="51"/>
    </row>
    <row r="19" spans="1:12" x14ac:dyDescent="0.2">
      <c r="A19" s="2" t="s">
        <v>23</v>
      </c>
      <c r="B19" s="1">
        <v>2</v>
      </c>
      <c r="C19" s="1">
        <v>0</v>
      </c>
      <c r="D19" s="1">
        <v>0</v>
      </c>
      <c r="E19" s="1">
        <v>2</v>
      </c>
      <c r="F19" s="11" t="s">
        <v>38</v>
      </c>
      <c r="G19" s="11" t="s">
        <v>38</v>
      </c>
      <c r="H19" s="9">
        <v>0</v>
      </c>
      <c r="I19" s="1">
        <v>0</v>
      </c>
      <c r="J19" s="1">
        <v>2</v>
      </c>
      <c r="K19" s="19" t="s">
        <v>42</v>
      </c>
      <c r="L19" s="51"/>
    </row>
    <row r="20" spans="1:12" x14ac:dyDescent="0.2">
      <c r="A20" s="5" t="s">
        <v>24</v>
      </c>
      <c r="B20" s="4">
        <v>21</v>
      </c>
      <c r="C20" s="4">
        <v>0</v>
      </c>
      <c r="D20" s="4">
        <v>0</v>
      </c>
      <c r="E20" s="4">
        <v>21</v>
      </c>
      <c r="F20" s="8" t="s">
        <v>38</v>
      </c>
      <c r="G20" s="8" t="s">
        <v>38</v>
      </c>
      <c r="H20" s="13">
        <v>0</v>
      </c>
      <c r="I20" s="4">
        <v>0</v>
      </c>
      <c r="J20" s="4">
        <v>21</v>
      </c>
      <c r="K20" s="20" t="s">
        <v>42</v>
      </c>
      <c r="L20" s="51"/>
    </row>
    <row r="21" spans="1:12" x14ac:dyDescent="0.2">
      <c r="A21" s="2" t="s">
        <v>25</v>
      </c>
      <c r="B21" s="1">
        <v>22</v>
      </c>
      <c r="C21" s="1">
        <v>0</v>
      </c>
      <c r="D21" s="1">
        <v>0</v>
      </c>
      <c r="E21" s="1">
        <v>22</v>
      </c>
      <c r="F21" s="11" t="s">
        <v>38</v>
      </c>
      <c r="G21" s="11" t="s">
        <v>38</v>
      </c>
      <c r="H21" s="9">
        <v>0</v>
      </c>
      <c r="I21" s="1">
        <v>0</v>
      </c>
      <c r="J21" s="1">
        <v>22</v>
      </c>
      <c r="K21" s="19" t="s">
        <v>42</v>
      </c>
      <c r="L21" s="51"/>
    </row>
    <row r="22" spans="1:12" x14ac:dyDescent="0.2">
      <c r="A22" s="5" t="s">
        <v>26</v>
      </c>
      <c r="B22" s="4">
        <v>21</v>
      </c>
      <c r="C22" s="4">
        <v>0</v>
      </c>
      <c r="D22" s="4">
        <v>0</v>
      </c>
      <c r="E22" s="4">
        <v>21</v>
      </c>
      <c r="F22" s="8" t="s">
        <v>38</v>
      </c>
      <c r="G22" s="8" t="s">
        <v>38</v>
      </c>
      <c r="H22" s="13">
        <v>0</v>
      </c>
      <c r="I22" s="4">
        <v>0</v>
      </c>
      <c r="J22" s="4">
        <v>21</v>
      </c>
      <c r="K22" s="20" t="s">
        <v>42</v>
      </c>
      <c r="L22" s="51"/>
    </row>
    <row r="23" spans="1:12" x14ac:dyDescent="0.2">
      <c r="A23" s="2" t="s">
        <v>27</v>
      </c>
      <c r="B23" s="1">
        <v>20</v>
      </c>
      <c r="C23" s="1">
        <v>0</v>
      </c>
      <c r="D23" s="1">
        <v>0</v>
      </c>
      <c r="E23" s="1">
        <v>20</v>
      </c>
      <c r="F23" s="11" t="s">
        <v>38</v>
      </c>
      <c r="G23" s="11" t="s">
        <v>38</v>
      </c>
      <c r="H23" s="9">
        <v>0</v>
      </c>
      <c r="I23" s="1">
        <v>0</v>
      </c>
      <c r="J23" s="1">
        <v>20</v>
      </c>
      <c r="K23" s="19" t="s">
        <v>42</v>
      </c>
      <c r="L23" s="51"/>
    </row>
    <row r="24" spans="1:12" x14ac:dyDescent="0.2">
      <c r="A24" s="5" t="s">
        <v>28</v>
      </c>
      <c r="B24" s="4">
        <v>20</v>
      </c>
      <c r="C24" s="4">
        <v>0</v>
      </c>
      <c r="D24" s="4">
        <v>0</v>
      </c>
      <c r="E24" s="4">
        <v>20</v>
      </c>
      <c r="F24" s="8" t="s">
        <v>38</v>
      </c>
      <c r="G24" s="8" t="s">
        <v>38</v>
      </c>
      <c r="H24" s="13">
        <v>0</v>
      </c>
      <c r="I24" s="4">
        <v>0</v>
      </c>
      <c r="J24" s="4">
        <v>20</v>
      </c>
      <c r="K24" s="20" t="s">
        <v>42</v>
      </c>
      <c r="L24" s="51"/>
    </row>
    <row r="25" spans="1:12" x14ac:dyDescent="0.2">
      <c r="A25" s="2" t="s">
        <v>29</v>
      </c>
      <c r="B25" s="1">
        <v>21</v>
      </c>
      <c r="C25" s="1">
        <v>0</v>
      </c>
      <c r="D25" s="1">
        <v>0</v>
      </c>
      <c r="E25" s="1">
        <v>21</v>
      </c>
      <c r="F25" s="11" t="s">
        <v>38</v>
      </c>
      <c r="G25" s="11" t="s">
        <v>38</v>
      </c>
      <c r="H25" s="9">
        <v>0</v>
      </c>
      <c r="I25" s="1">
        <v>0</v>
      </c>
      <c r="J25" s="1">
        <v>21</v>
      </c>
      <c r="K25" s="19" t="s">
        <v>42</v>
      </c>
      <c r="L25" s="51"/>
    </row>
    <row r="26" spans="1:12" x14ac:dyDescent="0.2">
      <c r="A26" s="5" t="s">
        <v>30</v>
      </c>
      <c r="B26" s="4">
        <v>8</v>
      </c>
      <c r="C26" s="4">
        <v>0</v>
      </c>
      <c r="D26" s="4">
        <v>0</v>
      </c>
      <c r="E26" s="4">
        <v>8</v>
      </c>
      <c r="F26" s="8" t="s">
        <v>38</v>
      </c>
      <c r="G26" s="8" t="s">
        <v>38</v>
      </c>
      <c r="H26" s="13">
        <v>0</v>
      </c>
      <c r="I26" s="4">
        <v>0</v>
      </c>
      <c r="J26" s="4">
        <v>8</v>
      </c>
      <c r="K26" s="20" t="s">
        <v>42</v>
      </c>
      <c r="L26" s="51"/>
    </row>
    <row r="27" spans="1:12" x14ac:dyDescent="0.2">
      <c r="A27" s="2" t="s">
        <v>31</v>
      </c>
      <c r="B27" s="1">
        <v>17</v>
      </c>
      <c r="C27" s="1">
        <v>0</v>
      </c>
      <c r="D27" s="1">
        <v>0</v>
      </c>
      <c r="E27" s="1">
        <v>17</v>
      </c>
      <c r="F27" s="11" t="s">
        <v>38</v>
      </c>
      <c r="G27" s="11" t="s">
        <v>38</v>
      </c>
      <c r="H27" s="9">
        <v>0</v>
      </c>
      <c r="I27" s="1">
        <v>0</v>
      </c>
      <c r="J27" s="1">
        <v>17</v>
      </c>
      <c r="K27" s="19" t="s">
        <v>42</v>
      </c>
      <c r="L27" s="51"/>
    </row>
    <row r="28" spans="1:12" x14ac:dyDescent="0.2">
      <c r="A28" s="5" t="s">
        <v>32</v>
      </c>
      <c r="B28" s="4">
        <v>21</v>
      </c>
      <c r="C28" s="4">
        <v>0</v>
      </c>
      <c r="D28" s="4">
        <v>0</v>
      </c>
      <c r="E28" s="4">
        <v>21</v>
      </c>
      <c r="F28" s="8" t="s">
        <v>38</v>
      </c>
      <c r="G28" s="8" t="s">
        <v>38</v>
      </c>
      <c r="H28" s="13">
        <v>0</v>
      </c>
      <c r="I28" s="4">
        <v>0</v>
      </c>
      <c r="J28" s="4">
        <v>21</v>
      </c>
      <c r="K28" s="20" t="s">
        <v>42</v>
      </c>
      <c r="L28" s="52"/>
    </row>
    <row r="29" spans="1:12" x14ac:dyDescent="0.2">
      <c r="A29" s="2" t="s">
        <v>33</v>
      </c>
      <c r="B29" s="2">
        <f>SUM(B3:B28)</f>
        <v>544</v>
      </c>
      <c r="C29" s="2">
        <f>SUM(C3:C28)</f>
        <v>67</v>
      </c>
      <c r="D29" s="2">
        <f>SUM(D3:D28)</f>
        <v>70</v>
      </c>
      <c r="E29" s="2">
        <f>SUM(E3:E28)</f>
        <v>407</v>
      </c>
      <c r="F29" s="2">
        <f>SUM(F3:F28)</f>
        <v>53</v>
      </c>
      <c r="G29" s="16">
        <v>0.48899999999999999</v>
      </c>
      <c r="H29" s="16">
        <v>0.251</v>
      </c>
      <c r="I29" s="2">
        <f>SUM(I3:I28)</f>
        <v>8</v>
      </c>
      <c r="J29" s="2">
        <f>SUM(J3:J28)</f>
        <v>469</v>
      </c>
      <c r="L29" t="s">
        <v>7</v>
      </c>
    </row>
  </sheetData>
  <autoFilter ref="A2:H29" xr:uid="{00000000-0009-0000-0000-000000000000}"/>
  <mergeCells count="2">
    <mergeCell ref="L3:L28"/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9A71-8F8C-4280-8F0B-0B24D024933B}">
  <dimension ref="A1:E15"/>
  <sheetViews>
    <sheetView topLeftCell="A2" zoomScale="115" zoomScaleNormal="115" workbookViewId="0">
      <selection activeCell="C21" sqref="C21"/>
    </sheetView>
  </sheetViews>
  <sheetFormatPr baseColWidth="10" defaultColWidth="8.83203125" defaultRowHeight="15" x14ac:dyDescent="0.2"/>
  <cols>
    <col min="1" max="1" width="19.5" customWidth="1"/>
    <col min="2" max="2" width="28.83203125" customWidth="1"/>
    <col min="3" max="3" width="47.5" customWidth="1"/>
    <col min="4" max="4" width="18" bestFit="1" customWidth="1"/>
    <col min="5" max="5" width="13.1640625" customWidth="1"/>
  </cols>
  <sheetData>
    <row r="1" spans="1:5" ht="16" thickBot="1" x14ac:dyDescent="0.25">
      <c r="A1" s="34" t="s">
        <v>119</v>
      </c>
      <c r="B1" s="34" t="s">
        <v>120</v>
      </c>
      <c r="C1" s="34" t="s">
        <v>121</v>
      </c>
      <c r="D1" s="34" t="s">
        <v>122</v>
      </c>
      <c r="E1" s="34" t="s">
        <v>35</v>
      </c>
    </row>
    <row r="2" spans="1:5" ht="50.5" customHeight="1" thickBot="1" x14ac:dyDescent="0.25">
      <c r="A2" s="40" t="s">
        <v>123</v>
      </c>
      <c r="B2" s="35" t="s">
        <v>124</v>
      </c>
      <c r="C2" s="35" t="s">
        <v>125</v>
      </c>
      <c r="D2" s="35" t="s">
        <v>126</v>
      </c>
      <c r="E2" s="35" t="s">
        <v>127</v>
      </c>
    </row>
    <row r="3" spans="1:5" ht="16" thickBot="1" x14ac:dyDescent="0.25">
      <c r="A3" s="41">
        <v>46254</v>
      </c>
      <c r="B3" s="36" t="s">
        <v>165</v>
      </c>
      <c r="C3" s="36" t="s">
        <v>128</v>
      </c>
      <c r="D3" s="36" t="s">
        <v>129</v>
      </c>
      <c r="E3" s="36" t="s">
        <v>127</v>
      </c>
    </row>
    <row r="4" spans="1:5" ht="16" thickBot="1" x14ac:dyDescent="0.25">
      <c r="A4" s="42" t="s">
        <v>130</v>
      </c>
      <c r="B4" s="37" t="s">
        <v>131</v>
      </c>
      <c r="C4" s="37" t="s">
        <v>132</v>
      </c>
      <c r="D4" s="37" t="s">
        <v>166</v>
      </c>
      <c r="E4" s="37" t="s">
        <v>127</v>
      </c>
    </row>
    <row r="5" spans="1:5" ht="31" thickBot="1" x14ac:dyDescent="0.25">
      <c r="A5" s="41">
        <v>46260</v>
      </c>
      <c r="B5" s="36" t="s">
        <v>134</v>
      </c>
      <c r="C5" s="36" t="s">
        <v>135</v>
      </c>
      <c r="D5" s="36" t="s">
        <v>167</v>
      </c>
      <c r="E5" s="36" t="s">
        <v>127</v>
      </c>
    </row>
    <row r="6" spans="1:5" ht="22.25" customHeight="1" thickBot="1" x14ac:dyDescent="0.25">
      <c r="A6" s="40" t="s">
        <v>136</v>
      </c>
      <c r="B6" s="35" t="s">
        <v>137</v>
      </c>
      <c r="C6" s="35" t="s">
        <v>138</v>
      </c>
      <c r="D6" s="35" t="s">
        <v>166</v>
      </c>
      <c r="E6" s="35" t="s">
        <v>127</v>
      </c>
    </row>
    <row r="7" spans="1:5" ht="31" thickBot="1" x14ac:dyDescent="0.25">
      <c r="A7" s="42" t="s">
        <v>139</v>
      </c>
      <c r="B7" s="37" t="s">
        <v>140</v>
      </c>
      <c r="C7" s="37" t="s">
        <v>141</v>
      </c>
      <c r="D7" s="37" t="s">
        <v>166</v>
      </c>
      <c r="E7" s="37" t="s">
        <v>127</v>
      </c>
    </row>
    <row r="8" spans="1:5" ht="16" thickBot="1" x14ac:dyDescent="0.25">
      <c r="A8" s="40" t="s">
        <v>142</v>
      </c>
      <c r="B8" s="35" t="s">
        <v>143</v>
      </c>
      <c r="C8" s="35" t="s">
        <v>144</v>
      </c>
      <c r="D8" s="35" t="s">
        <v>166</v>
      </c>
      <c r="E8" s="35" t="s">
        <v>127</v>
      </c>
    </row>
    <row r="9" spans="1:5" ht="31.75" customHeight="1" thickBot="1" x14ac:dyDescent="0.25">
      <c r="A9" s="42" t="s">
        <v>145</v>
      </c>
      <c r="B9" s="37" t="s">
        <v>146</v>
      </c>
      <c r="C9" s="37" t="s">
        <v>147</v>
      </c>
      <c r="D9" s="37" t="s">
        <v>133</v>
      </c>
      <c r="E9" s="37" t="s">
        <v>127</v>
      </c>
    </row>
    <row r="10" spans="1:5" ht="16" thickBot="1" x14ac:dyDescent="0.25">
      <c r="A10" s="40" t="s">
        <v>148</v>
      </c>
      <c r="B10" s="35" t="s">
        <v>149</v>
      </c>
      <c r="C10" s="35" t="s">
        <v>150</v>
      </c>
      <c r="D10" s="35" t="s">
        <v>133</v>
      </c>
      <c r="E10" s="35" t="s">
        <v>127</v>
      </c>
    </row>
    <row r="11" spans="1:5" ht="16" thickBot="1" x14ac:dyDescent="0.25">
      <c r="A11" s="41">
        <v>46279</v>
      </c>
      <c r="B11" s="36" t="s">
        <v>151</v>
      </c>
      <c r="C11" s="36" t="s">
        <v>152</v>
      </c>
      <c r="D11" s="36" t="s">
        <v>153</v>
      </c>
      <c r="E11" s="36" t="s">
        <v>127</v>
      </c>
    </row>
    <row r="12" spans="1:5" ht="36" customHeight="1" thickBot="1" x14ac:dyDescent="0.25">
      <c r="A12" s="42" t="s">
        <v>154</v>
      </c>
      <c r="B12" s="37" t="s">
        <v>155</v>
      </c>
      <c r="C12" s="37" t="s">
        <v>156</v>
      </c>
      <c r="D12" s="37" t="s">
        <v>166</v>
      </c>
      <c r="E12" s="37" t="s">
        <v>127</v>
      </c>
    </row>
    <row r="13" spans="1:5" ht="51.5" customHeight="1" thickBot="1" x14ac:dyDescent="0.25">
      <c r="A13" s="43" t="s">
        <v>157</v>
      </c>
      <c r="B13" s="38" t="s">
        <v>158</v>
      </c>
      <c r="C13" s="38" t="s">
        <v>159</v>
      </c>
      <c r="D13" s="38" t="s">
        <v>166</v>
      </c>
      <c r="E13" s="38" t="s">
        <v>127</v>
      </c>
    </row>
    <row r="14" spans="1:5" ht="48.5" customHeight="1" thickBot="1" x14ac:dyDescent="0.25">
      <c r="A14" s="44">
        <v>46295</v>
      </c>
      <c r="B14" s="35" t="s">
        <v>160</v>
      </c>
      <c r="C14" s="35" t="s">
        <v>161</v>
      </c>
      <c r="D14" s="35" t="s">
        <v>166</v>
      </c>
      <c r="E14" s="35" t="s">
        <v>127</v>
      </c>
    </row>
    <row r="15" spans="1:5" ht="40.75" customHeight="1" thickBot="1" x14ac:dyDescent="0.25">
      <c r="A15" s="45">
        <v>46296</v>
      </c>
      <c r="B15" s="39" t="s">
        <v>162</v>
      </c>
      <c r="C15" s="39" t="s">
        <v>163</v>
      </c>
      <c r="D15" s="39" t="s">
        <v>164</v>
      </c>
      <c r="E15" s="39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A88D-CB07-4325-AB28-89F9F997D37B}">
  <dimension ref="A1:H24"/>
  <sheetViews>
    <sheetView zoomScale="115" zoomScaleNormal="115" workbookViewId="0">
      <pane ySplit="2" topLeftCell="A3" activePane="bottomLeft" state="frozen"/>
      <selection pane="bottomLeft" activeCell="D19" sqref="D19"/>
    </sheetView>
  </sheetViews>
  <sheetFormatPr baseColWidth="10" defaultColWidth="8.83203125" defaultRowHeight="14" x14ac:dyDescent="0.2"/>
  <cols>
    <col min="1" max="5" width="23" style="22" customWidth="1"/>
    <col min="6" max="7" width="23" style="22" hidden="1" customWidth="1"/>
    <col min="8" max="8" width="14.1640625" style="22" customWidth="1"/>
    <col min="9" max="16384" width="8.83203125" style="22"/>
  </cols>
  <sheetData>
    <row r="1" spans="1:8" ht="28" customHeight="1" x14ac:dyDescent="0.2">
      <c r="A1" s="46" t="s">
        <v>49</v>
      </c>
      <c r="B1" s="46"/>
      <c r="C1" s="46"/>
      <c r="D1" s="46"/>
      <c r="E1" s="46"/>
      <c r="F1" s="46"/>
      <c r="G1" s="46"/>
    </row>
    <row r="2" spans="1:8" ht="22" customHeight="1" x14ac:dyDescent="0.2">
      <c r="A2" s="23" t="s">
        <v>50</v>
      </c>
      <c r="B2" s="23" t="s">
        <v>51</v>
      </c>
      <c r="C2" s="23" t="s">
        <v>52</v>
      </c>
      <c r="D2" s="23" t="s">
        <v>53</v>
      </c>
      <c r="E2" s="23" t="s">
        <v>54</v>
      </c>
      <c r="F2" s="23" t="s">
        <v>55</v>
      </c>
      <c r="G2" s="23" t="s">
        <v>56</v>
      </c>
    </row>
    <row r="3" spans="1:8" ht="92" customHeight="1" x14ac:dyDescent="0.2">
      <c r="A3" s="24" t="s">
        <v>7</v>
      </c>
      <c r="B3" s="24" t="s">
        <v>7</v>
      </c>
      <c r="C3" s="24" t="s">
        <v>7</v>
      </c>
      <c r="D3" s="24" t="s">
        <v>7</v>
      </c>
      <c r="E3" s="24" t="s">
        <v>7</v>
      </c>
      <c r="F3" s="25" t="s">
        <v>57</v>
      </c>
      <c r="G3" s="26" t="s">
        <v>58</v>
      </c>
      <c r="H3" s="47" t="s">
        <v>59</v>
      </c>
    </row>
    <row r="4" spans="1:8" ht="92" customHeight="1" x14ac:dyDescent="0.2">
      <c r="A4" s="24" t="s">
        <v>60</v>
      </c>
      <c r="B4" s="24" t="s">
        <v>61</v>
      </c>
      <c r="C4" s="24" t="s">
        <v>62</v>
      </c>
      <c r="D4" s="24" t="s">
        <v>63</v>
      </c>
      <c r="E4" s="24" t="s">
        <v>64</v>
      </c>
      <c r="F4" s="25" t="s">
        <v>65</v>
      </c>
      <c r="G4" s="26" t="s">
        <v>66</v>
      </c>
      <c r="H4" s="47"/>
    </row>
    <row r="5" spans="1:8" ht="92" customHeight="1" x14ac:dyDescent="0.2">
      <c r="A5" s="24" t="s">
        <v>67</v>
      </c>
      <c r="B5" s="24" t="s">
        <v>68</v>
      </c>
      <c r="C5" s="24" t="s">
        <v>69</v>
      </c>
      <c r="D5" s="24" t="s">
        <v>70</v>
      </c>
      <c r="E5" s="24" t="s">
        <v>71</v>
      </c>
      <c r="F5" s="25" t="s">
        <v>72</v>
      </c>
      <c r="G5" s="26" t="s">
        <v>73</v>
      </c>
      <c r="H5" s="47"/>
    </row>
    <row r="6" spans="1:8" ht="92" customHeight="1" x14ac:dyDescent="0.2">
      <c r="A6" s="24" t="s">
        <v>74</v>
      </c>
      <c r="B6" s="24" t="s">
        <v>75</v>
      </c>
      <c r="C6" s="27" t="s">
        <v>76</v>
      </c>
      <c r="D6" s="28" t="s">
        <v>77</v>
      </c>
      <c r="E6" s="24" t="s">
        <v>78</v>
      </c>
      <c r="F6" s="25" t="s">
        <v>79</v>
      </c>
      <c r="G6" s="26" t="s">
        <v>80</v>
      </c>
      <c r="H6" s="47"/>
    </row>
    <row r="7" spans="1:8" ht="92" customHeight="1" x14ac:dyDescent="0.2">
      <c r="A7" s="29" t="s">
        <v>81</v>
      </c>
      <c r="B7" s="29" t="s">
        <v>82</v>
      </c>
      <c r="C7" s="28" t="s">
        <v>83</v>
      </c>
      <c r="D7" s="29" t="s">
        <v>84</v>
      </c>
      <c r="E7" s="27" t="s">
        <v>85</v>
      </c>
      <c r="F7" s="25" t="s">
        <v>86</v>
      </c>
      <c r="G7" s="26" t="s">
        <v>87</v>
      </c>
      <c r="H7" s="47"/>
    </row>
    <row r="8" spans="1:8" ht="92" customHeight="1" x14ac:dyDescent="0.2">
      <c r="A8" s="29" t="s">
        <v>88</v>
      </c>
      <c r="B8" s="24" t="s">
        <v>7</v>
      </c>
      <c r="C8" s="24" t="s">
        <v>7</v>
      </c>
      <c r="D8" s="24" t="s">
        <v>7</v>
      </c>
      <c r="E8" s="24" t="s">
        <v>7</v>
      </c>
      <c r="F8" s="25" t="s">
        <v>7</v>
      </c>
      <c r="G8" s="26" t="s">
        <v>7</v>
      </c>
      <c r="H8" s="47"/>
    </row>
    <row r="10" spans="1:8" ht="22" customHeight="1" x14ac:dyDescent="0.2">
      <c r="A10" s="23" t="s">
        <v>50</v>
      </c>
      <c r="B10" s="23" t="s">
        <v>51</v>
      </c>
      <c r="C10" s="23" t="s">
        <v>52</v>
      </c>
      <c r="D10" s="23" t="s">
        <v>53</v>
      </c>
      <c r="E10" s="23" t="s">
        <v>54</v>
      </c>
      <c r="F10" s="23" t="s">
        <v>55</v>
      </c>
      <c r="G10" s="30" t="s">
        <v>56</v>
      </c>
      <c r="H10" s="47" t="s">
        <v>89</v>
      </c>
    </row>
    <row r="11" spans="1:8" ht="92" customHeight="1" x14ac:dyDescent="0.2">
      <c r="A11" s="24" t="s">
        <v>7</v>
      </c>
      <c r="B11" s="29" t="s">
        <v>90</v>
      </c>
      <c r="C11" s="29" t="s">
        <v>91</v>
      </c>
      <c r="D11" s="29" t="s">
        <v>92</v>
      </c>
      <c r="E11" s="27" t="s">
        <v>93</v>
      </c>
      <c r="F11" s="25" t="s">
        <v>62</v>
      </c>
      <c r="G11" s="26" t="s">
        <v>63</v>
      </c>
      <c r="H11" s="47"/>
    </row>
    <row r="12" spans="1:8" ht="92" customHeight="1" x14ac:dyDescent="0.2">
      <c r="A12" s="29" t="s">
        <v>94</v>
      </c>
      <c r="B12" s="29" t="s">
        <v>95</v>
      </c>
      <c r="C12" s="29" t="s">
        <v>96</v>
      </c>
      <c r="D12" s="29" t="s">
        <v>97</v>
      </c>
      <c r="E12" s="27" t="s">
        <v>98</v>
      </c>
      <c r="F12" s="25" t="s">
        <v>69</v>
      </c>
      <c r="G12" s="26" t="s">
        <v>70</v>
      </c>
      <c r="H12" s="47"/>
    </row>
    <row r="13" spans="1:8" ht="92" customHeight="1" x14ac:dyDescent="0.2">
      <c r="A13" s="28" t="s">
        <v>99</v>
      </c>
      <c r="B13" s="24" t="s">
        <v>72</v>
      </c>
      <c r="C13" s="24" t="s">
        <v>73</v>
      </c>
      <c r="D13" s="24" t="s">
        <v>74</v>
      </c>
      <c r="E13" s="24" t="s">
        <v>75</v>
      </c>
      <c r="F13" s="25" t="s">
        <v>100</v>
      </c>
      <c r="G13" s="26" t="s">
        <v>101</v>
      </c>
      <c r="H13" s="47"/>
    </row>
    <row r="14" spans="1:8" ht="92" customHeight="1" x14ac:dyDescent="0.2">
      <c r="A14" s="24" t="s">
        <v>78</v>
      </c>
      <c r="B14" s="29" t="s">
        <v>102</v>
      </c>
      <c r="C14" s="29" t="s">
        <v>103</v>
      </c>
      <c r="D14" s="29" t="s">
        <v>104</v>
      </c>
      <c r="E14" s="31" t="s">
        <v>105</v>
      </c>
      <c r="F14" s="31" t="s">
        <v>106</v>
      </c>
      <c r="G14" s="32" t="s">
        <v>107</v>
      </c>
      <c r="H14" s="47"/>
    </row>
    <row r="15" spans="1:8" ht="92" customHeight="1" x14ac:dyDescent="0.2">
      <c r="A15" s="31" t="s">
        <v>108</v>
      </c>
      <c r="B15" s="31" t="s">
        <v>109</v>
      </c>
      <c r="C15" s="27" t="s">
        <v>110</v>
      </c>
      <c r="D15" s="24" t="s">
        <v>7</v>
      </c>
      <c r="E15" s="24" t="s">
        <v>7</v>
      </c>
      <c r="F15" s="25" t="s">
        <v>7</v>
      </c>
      <c r="G15" s="26" t="s">
        <v>7</v>
      </c>
      <c r="H15" s="47"/>
    </row>
    <row r="16" spans="1:8" ht="92" customHeight="1" x14ac:dyDescent="0.2">
      <c r="A16" s="24" t="s">
        <v>7</v>
      </c>
      <c r="B16" s="24" t="s">
        <v>7</v>
      </c>
      <c r="C16" s="24" t="s">
        <v>7</v>
      </c>
      <c r="D16" s="24" t="s">
        <v>7</v>
      </c>
      <c r="E16" s="24" t="s">
        <v>7</v>
      </c>
      <c r="F16" s="25" t="s">
        <v>7</v>
      </c>
      <c r="G16" s="26" t="s">
        <v>7</v>
      </c>
      <c r="H16" s="47"/>
    </row>
    <row r="17" spans="1:8" ht="19.75" customHeight="1" x14ac:dyDescent="0.2"/>
    <row r="18" spans="1:8" ht="22" customHeight="1" x14ac:dyDescent="0.2">
      <c r="A18" s="23" t="s">
        <v>50</v>
      </c>
      <c r="B18" s="23" t="s">
        <v>51</v>
      </c>
      <c r="C18" s="23" t="s">
        <v>52</v>
      </c>
      <c r="D18" s="23" t="s">
        <v>53</v>
      </c>
      <c r="E18" s="23" t="s">
        <v>54</v>
      </c>
      <c r="F18" s="23" t="s">
        <v>55</v>
      </c>
      <c r="G18" s="23" t="s">
        <v>56</v>
      </c>
      <c r="H18" s="47" t="s">
        <v>111</v>
      </c>
    </row>
    <row r="19" spans="1:8" ht="92" customHeight="1" x14ac:dyDescent="0.2">
      <c r="A19" s="24" t="s">
        <v>7</v>
      </c>
      <c r="B19" s="24" t="s">
        <v>7</v>
      </c>
      <c r="C19" s="24" t="s">
        <v>7</v>
      </c>
      <c r="D19" s="33" t="s">
        <v>112</v>
      </c>
      <c r="E19" s="24" t="s">
        <v>58</v>
      </c>
      <c r="F19" s="25" t="s">
        <v>60</v>
      </c>
      <c r="G19" s="25" t="s">
        <v>61</v>
      </c>
      <c r="H19" s="47"/>
    </row>
    <row r="20" spans="1:8" ht="92" customHeight="1" x14ac:dyDescent="0.2">
      <c r="A20" s="24" t="s">
        <v>62</v>
      </c>
      <c r="B20" s="24" t="s">
        <v>63</v>
      </c>
      <c r="C20" s="24" t="s">
        <v>64</v>
      </c>
      <c r="D20" s="24" t="s">
        <v>65</v>
      </c>
      <c r="E20" s="24" t="s">
        <v>66</v>
      </c>
      <c r="F20" s="25" t="s">
        <v>67</v>
      </c>
      <c r="G20" s="25" t="s">
        <v>68</v>
      </c>
      <c r="H20" s="47"/>
    </row>
    <row r="21" spans="1:8" ht="92" customHeight="1" x14ac:dyDescent="0.2">
      <c r="A21" s="24" t="s">
        <v>69</v>
      </c>
      <c r="B21" s="24" t="s">
        <v>70</v>
      </c>
      <c r="C21" s="24" t="s">
        <v>71</v>
      </c>
      <c r="D21" s="24" t="s">
        <v>72</v>
      </c>
      <c r="E21" s="24" t="s">
        <v>73</v>
      </c>
      <c r="F21" s="25" t="s">
        <v>74</v>
      </c>
      <c r="G21" s="25" t="s">
        <v>75</v>
      </c>
      <c r="H21" s="47"/>
    </row>
    <row r="22" spans="1:8" ht="92" customHeight="1" x14ac:dyDescent="0.2">
      <c r="A22" s="24" t="s">
        <v>100</v>
      </c>
      <c r="B22" s="24" t="s">
        <v>101</v>
      </c>
      <c r="C22" s="24" t="s">
        <v>78</v>
      </c>
      <c r="D22" s="24" t="s">
        <v>79</v>
      </c>
      <c r="E22" s="24" t="s">
        <v>80</v>
      </c>
      <c r="F22" s="25" t="s">
        <v>113</v>
      </c>
      <c r="G22" s="25" t="s">
        <v>114</v>
      </c>
      <c r="H22" s="47"/>
    </row>
    <row r="23" spans="1:8" ht="92" customHeight="1" x14ac:dyDescent="0.2">
      <c r="A23" s="24" t="s">
        <v>115</v>
      </c>
      <c r="B23" s="24" t="s">
        <v>116</v>
      </c>
      <c r="C23" s="24" t="s">
        <v>117</v>
      </c>
      <c r="D23" s="24" t="s">
        <v>86</v>
      </c>
      <c r="E23" s="24" t="s">
        <v>87</v>
      </c>
      <c r="F23" s="25" t="s">
        <v>118</v>
      </c>
      <c r="G23" s="25" t="s">
        <v>7</v>
      </c>
      <c r="H23" s="47"/>
    </row>
    <row r="24" spans="1:8" ht="92" customHeight="1" x14ac:dyDescent="0.2">
      <c r="A24" s="24" t="s">
        <v>7</v>
      </c>
      <c r="B24" s="24" t="s">
        <v>7</v>
      </c>
      <c r="C24" s="24" t="s">
        <v>7</v>
      </c>
      <c r="D24" s="24" t="s">
        <v>7</v>
      </c>
      <c r="E24" s="24" t="s">
        <v>7</v>
      </c>
      <c r="F24" s="25" t="s">
        <v>7</v>
      </c>
      <c r="G24" s="25" t="s">
        <v>7</v>
      </c>
      <c r="H24" s="48"/>
    </row>
  </sheetData>
  <mergeCells count="4">
    <mergeCell ref="A1:G1"/>
    <mergeCell ref="H3:H8"/>
    <mergeCell ref="H10:H16"/>
    <mergeCell ref="H18:H24"/>
  </mergeCells>
  <pageMargins left="0.3" right="0.3" top="0.5" bottom="0.5" header="0.2" footer="0.2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Pie Chart</vt:lpstr>
      <vt:lpstr>DP-A TCAR UAT Summary</vt:lpstr>
      <vt:lpstr>Check List</vt:lpstr>
      <vt:lpstr>Calendar Checklist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TCAR CrewSE Test Case Status Statistics</dc:title>
  <dc:creator>Codex</dc:creator>
  <cp:lastModifiedBy>Ryan Ruan</cp:lastModifiedBy>
  <dcterms:created xsi:type="dcterms:W3CDTF">2026-08-14T08:34:04Z</dcterms:created>
  <dcterms:modified xsi:type="dcterms:W3CDTF">2026-08-25T09:47:54Z</dcterms:modified>
</cp:coreProperties>
</file>