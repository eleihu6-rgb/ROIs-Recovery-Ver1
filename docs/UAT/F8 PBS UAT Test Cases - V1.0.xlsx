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Summary" sheetId="1" state="visible" r:id="rId1"/>
    <sheet name="T2 Admin UI" sheetId="2" state="visible" r:id="rId2"/>
    <sheet name="T3 Legality" sheetId="3" state="visible" r:id="rId3"/>
    <sheet name="T4 Crew Portal"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5"/>
    </font>
    <font>
      <name val="Calibri"/>
      <color rgb="00FFFFFF"/>
      <sz val="10"/>
    </font>
    <font>
      <name val="Calibri"/>
      <b val="1"/>
      <color rgb="00FFFFFF"/>
      <sz val="10"/>
    </font>
    <font>
      <name val="Calibri"/>
      <b val="1"/>
      <color rgb="001F3864"/>
      <sz val="10"/>
    </font>
    <font>
      <name val="Calibri"/>
      <color rgb="00000000"/>
      <sz val="10"/>
    </font>
    <font>
      <b val="1"/>
      <color rgb="00FFFFFF"/>
      <sz val="16"/>
    </font>
    <font>
      <color rgb="00000000"/>
      <sz val="10"/>
    </font>
    <font>
      <b val="1"/>
      <color rgb="001F3864"/>
      <sz val="10"/>
    </font>
    <font>
      <color rgb="00404040"/>
      <sz val="10"/>
    </font>
  </fonts>
  <fills count="7">
    <fill>
      <patternFill/>
    </fill>
    <fill>
      <patternFill patternType="gray125"/>
    </fill>
    <fill>
      <patternFill patternType="solid">
        <fgColor rgb="001F3864"/>
      </patternFill>
    </fill>
    <fill>
      <patternFill patternType="solid">
        <fgColor rgb="002E5496"/>
      </patternFill>
    </fill>
    <fill>
      <patternFill patternType="solid">
        <fgColor rgb="00D6E0F0"/>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6"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7" fillId="6" borderId="1" applyAlignment="1" pivotButton="0" quotePrefix="0" xfId="0">
      <alignment horizontal="left" vertical="center" indent="1"/>
    </xf>
    <xf numFmtId="0" fontId="7" fillId="6" borderId="1" applyAlignment="1" pivotButton="0" quotePrefix="0" xfId="0">
      <alignment horizontal="center" vertical="center" wrapText="1"/>
    </xf>
    <xf numFmtId="9" fontId="7" fillId="6" borderId="1" applyAlignment="1" pivotButton="0" quotePrefix="0" xfId="0">
      <alignment horizontal="center" vertical="center" wrapText="1"/>
    </xf>
    <xf numFmtId="0" fontId="7" fillId="5" borderId="1" applyAlignment="1" pivotButton="0" quotePrefix="0" xfId="0">
      <alignment horizontal="left" vertical="center" indent="1"/>
    </xf>
    <xf numFmtId="0" fontId="7" fillId="5" borderId="1" applyAlignment="1" pivotButton="0" quotePrefix="0" xfId="0">
      <alignment horizontal="center" vertical="center" wrapText="1"/>
    </xf>
    <xf numFmtId="9" fontId="7" fillId="5" borderId="1" applyAlignment="1" pivotButton="0" quotePrefix="0" xfId="0">
      <alignment horizontal="center" vertical="center" wrapText="1"/>
    </xf>
    <xf numFmtId="0" fontId="8" fillId="4" borderId="1" applyAlignment="1" pivotButton="0" quotePrefix="0" xfId="0">
      <alignment horizontal="left" vertical="center" indent="1"/>
    </xf>
    <xf numFmtId="0" fontId="8" fillId="4" borderId="1" applyAlignment="1" pivotButton="0" quotePrefix="0" xfId="0">
      <alignment horizontal="center" vertical="center" wrapText="1"/>
    </xf>
    <xf numFmtId="9" fontId="8" fillId="4" borderId="1" applyAlignment="1" pivotButton="0" quotePrefix="0" xfId="0">
      <alignment horizontal="center" vertical="center" wrapText="1"/>
    </xf>
    <xf numFmtId="0" fontId="8" fillId="0" borderId="0" pivotButton="0" quotePrefix="0" xfId="0"/>
    <xf numFmtId="0" fontId="9" fillId="0" borderId="0" pivotButton="0" quotePrefix="0" xfId="0"/>
    <xf numFmtId="0" fontId="1" fillId="2" borderId="0" applyAlignment="1" pivotButton="0" quotePrefix="0" xfId="0">
      <alignment horizontal="left" vertical="center" indent="1"/>
    </xf>
    <xf numFmtId="0" fontId="4" fillId="4" borderId="1" applyAlignment="1" pivotButton="0" quotePrefix="0" xfId="0">
      <alignment horizontal="left" vertical="center" indent="1"/>
    </xf>
    <xf numFmtId="0" fontId="0" fillId="4" borderId="1" pivotButton="0" quotePrefix="0" xfId="0"/>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5" fillId="6" borderId="1" applyAlignment="1" pivotButton="0" quotePrefix="0" xfId="0">
      <alignment horizontal="center" vertical="center"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12" customWidth="1" min="3" max="3"/>
    <col width="10" customWidth="1" min="4" max="4"/>
    <col width="10" customWidth="1" min="5" max="5"/>
    <col width="10" customWidth="1" min="6" max="6"/>
    <col width="12" customWidth="1" min="7" max="7"/>
    <col width="12" customWidth="1" min="8" max="8"/>
    <col width="11" customWidth="1" min="9" max="9"/>
    <col width="14" customWidth="1" min="10" max="10"/>
    <col width="14" customWidth="1" min="11" max="11"/>
  </cols>
  <sheetData>
    <row r="1" ht="34" customHeight="1">
      <c r="A1" s="1" t="inlineStr">
        <is>
          <t>F8 (Flair) PBS — UAT Test Cases — Summary</t>
        </is>
      </c>
    </row>
    <row r="2" ht="18" customHeight="1">
      <c r="A2" s="2" t="inlineStr">
        <is>
          <t>UAT Round 1   •   Airline: F8 (Flair)   •   Generated from product online help   •   2026-08-25</t>
        </is>
      </c>
    </row>
    <row r="3" ht="6" customHeight="1"/>
    <row r="4" ht="24" customHeight="1">
      <c r="A4" s="3" t="inlineStr">
        <is>
          <t>Tab</t>
        </is>
      </c>
      <c r="B4" s="3" t="inlineStr">
        <is>
          <t>Feature Area</t>
        </is>
      </c>
      <c r="C4" s="3" t="inlineStr">
        <is>
          <t>Total Cases</t>
        </is>
      </c>
      <c r="D4" s="3" t="inlineStr">
        <is>
          <t>Passed</t>
        </is>
      </c>
      <c r="E4" s="3" t="inlineStr">
        <is>
          <t>Failed</t>
        </is>
      </c>
      <c r="F4" s="3" t="inlineStr">
        <is>
          <t>Blocked</t>
        </is>
      </c>
      <c r="G4" s="3" t="inlineStr">
        <is>
          <t>Not Tested</t>
        </is>
      </c>
      <c r="H4" s="3" t="inlineStr">
        <is>
          <t>Pass Rate %</t>
        </is>
      </c>
      <c r="I4" s="3" t="inlineStr">
        <is>
          <t>Tested %</t>
        </is>
      </c>
      <c r="J4" s="3" t="inlineStr">
        <is>
          <t>Owner</t>
        </is>
      </c>
      <c r="K4" s="3" t="inlineStr">
        <is>
          <t>Last Update</t>
        </is>
      </c>
    </row>
    <row r="5" ht="20" customHeight="1">
      <c r="A5" s="4" t="inlineStr">
        <is>
          <t>T2 Admin UI</t>
        </is>
      </c>
      <c r="B5" s="4" t="inlineStr">
        <is>
          <t>Live &amp; Scenario admin gantt</t>
        </is>
      </c>
      <c r="C5" s="5">
        <f>COUNTIF('T2 Admin UI'!A5:A2000,"T?-*")</f>
        <v/>
      </c>
      <c r="D5" s="5">
        <f>COUNTIF('T2 Admin UI'!G5:G2000,"Pass")</f>
        <v/>
      </c>
      <c r="E5" s="5">
        <f>COUNTIF('T2 Admin UI'!G5:G2000,"Fail")</f>
        <v/>
      </c>
      <c r="F5" s="5">
        <f>COUNTIF('T2 Admin UI'!G5:G2000,"Blocked")</f>
        <v/>
      </c>
      <c r="G5" s="5">
        <f>C5-D5-E5-F5</f>
        <v/>
      </c>
      <c r="H5" s="6">
        <f>IF(C5=0,"-",(D5)/C5)</f>
        <v/>
      </c>
      <c r="I5" s="6">
        <f>IF(C5=0,"-",(D5+E5+F5)/C5)</f>
        <v/>
      </c>
      <c r="J5" s="5" t="inlineStr"/>
      <c r="K5" s="5" t="inlineStr"/>
    </row>
    <row r="6" ht="20" customHeight="1">
      <c r="A6" s="7" t="inlineStr">
        <is>
          <t>T3 Legality</t>
        </is>
      </c>
      <c r="B6" s="7" t="inlineStr">
        <is>
          <t>Rule-set legality checks</t>
        </is>
      </c>
      <c r="C6" s="8">
        <f>COUNTIF('T3 Legality'!A5:A2000,"T?-*")</f>
        <v/>
      </c>
      <c r="D6" s="8">
        <f>COUNTIF('T3 Legality'!G5:G2000,"Pass")</f>
        <v/>
      </c>
      <c r="E6" s="8">
        <f>COUNTIF('T3 Legality'!G5:G2000,"Fail")</f>
        <v/>
      </c>
      <c r="F6" s="8">
        <f>COUNTIF('T3 Legality'!G5:G2000,"Blocked")</f>
        <v/>
      </c>
      <c r="G6" s="8">
        <f>C6-D6-E6-F6</f>
        <v/>
      </c>
      <c r="H6" s="9">
        <f>IF(C6=0,"-",(D6)/C6)</f>
        <v/>
      </c>
      <c r="I6" s="9">
        <f>IF(C6=0,"-",(D6+E6+F6)/C6)</f>
        <v/>
      </c>
      <c r="J6" s="8" t="inlineStr"/>
      <c r="K6" s="8" t="inlineStr"/>
    </row>
    <row r="7" ht="20" customHeight="1">
      <c r="A7" s="4" t="inlineStr">
        <is>
          <t>T4 Crew Portal</t>
        </is>
      </c>
      <c r="B7" s="4" t="inlineStr">
        <is>
          <t>Crew bidding portal</t>
        </is>
      </c>
      <c r="C7" s="5">
        <f>COUNTIF('T4 Crew Portal'!A5:A2000,"T?-*")</f>
        <v/>
      </c>
      <c r="D7" s="5">
        <f>COUNTIF('T4 Crew Portal'!G5:G2000,"Pass")</f>
        <v/>
      </c>
      <c r="E7" s="5">
        <f>COUNTIF('T4 Crew Portal'!G5:G2000,"Fail")</f>
        <v/>
      </c>
      <c r="F7" s="5">
        <f>COUNTIF('T4 Crew Portal'!G5:G2000,"Blocked")</f>
        <v/>
      </c>
      <c r="G7" s="5">
        <f>C7-D7-E7-F7</f>
        <v/>
      </c>
      <c r="H7" s="6">
        <f>IF(C7=0,"-",(D7)/C7)</f>
        <v/>
      </c>
      <c r="I7" s="6">
        <f>IF(C7=0,"-",(D7+E7+F7)/C7)</f>
        <v/>
      </c>
      <c r="J7" s="5" t="inlineStr"/>
      <c r="K7" s="5" t="inlineStr"/>
    </row>
    <row r="8" ht="20" customHeight="1">
      <c r="A8" s="10" t="inlineStr">
        <is>
          <t>TOTAL</t>
        </is>
      </c>
      <c r="B8" s="10" t="inlineStr">
        <is>
          <t>All UAT scope</t>
        </is>
      </c>
      <c r="C8" s="11">
        <f>SUM(C5:C7)</f>
        <v/>
      </c>
      <c r="D8" s="11">
        <f>SUM(D5:D7)</f>
        <v/>
      </c>
      <c r="E8" s="11">
        <f>SUM(E5:E7)</f>
        <v/>
      </c>
      <c r="F8" s="11">
        <f>SUM(F5:F7)</f>
        <v/>
      </c>
      <c r="G8" s="11">
        <f>SUM(G5:G7)</f>
        <v/>
      </c>
      <c r="H8" s="12">
        <f>IF(C8=0,"-",D8/C8)</f>
        <v/>
      </c>
      <c r="I8" s="12">
        <f>IF(C8=0,"-",(D8+E8+F8)/C8)</f>
        <v/>
      </c>
      <c r="J8" s="11" t="n"/>
      <c r="K8" s="11" t="n"/>
    </row>
    <row r="10">
      <c r="A10" s="13" t="inlineStr">
        <is>
          <t>How to use:</t>
        </is>
      </c>
    </row>
    <row r="11">
      <c r="A11" s="14" t="inlineStr">
        <is>
          <t>1. Work top-to-bottom through each tab (T2 Admin UI, T3 Legality, T4 Crew Portal).</t>
        </is>
      </c>
    </row>
    <row r="12">
      <c r="A12" s="14" t="inlineStr">
        <is>
          <t>2. Follow the 'How to Test' steps, then set the Result column (Pass / Fail / Blocked / Not Tested).</t>
        </is>
      </c>
    </row>
    <row r="13">
      <c r="A13" s="14" t="inlineStr">
        <is>
          <t>3. Add your name in Tester, the date, and any note or screenshot name in Comments.</t>
        </is>
      </c>
    </row>
    <row r="14">
      <c r="A14" s="14" t="inlineStr">
        <is>
          <t>4. The Summary tab totals update automatically as you fill in each Result.</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4" customWidth="1" min="3" max="3"/>
    <col width="60" customWidth="1" min="4" max="4"/>
    <col width="48" customWidth="1" min="5" max="5"/>
    <col width="10" customWidth="1" min="6" max="6"/>
    <col width="13" customWidth="1" min="7" max="7"/>
    <col width="14" customWidth="1" min="8" max="8"/>
    <col width="13" customWidth="1" min="9" max="9"/>
    <col width="30" customWidth="1" min="10" max="10"/>
    <col width="28" customWidth="1" min="11" max="11"/>
  </cols>
  <sheetData>
    <row r="1" ht="30" customHeight="1">
      <c r="A1" s="15" t="inlineStr">
        <is>
          <t>T2 — Admin UI  (Live &amp; Scenario)</t>
        </is>
      </c>
    </row>
    <row r="2" ht="18" customHeight="1">
      <c r="A2" s="2" t="inlineStr">
        <is>
          <t>UAT Round 1   •   F8 (Flair) PBS   •   Reference: online help › Live &amp; Scenario   •   crew-f8-usva-sit.roiscloud.com/altair</t>
        </is>
      </c>
    </row>
    <row r="3" ht="6" customHeight="1"/>
    <row r="4" ht="26" customHeight="1">
      <c r="A4" s="3" t="inlineStr">
        <is>
          <t>Test ID</t>
        </is>
      </c>
      <c r="B4" s="3" t="inlineStr">
        <is>
          <t>Feature</t>
        </is>
      </c>
      <c r="C4" s="3" t="inlineStr">
        <is>
          <t>What to Test</t>
        </is>
      </c>
      <c r="D4" s="3" t="inlineStr">
        <is>
          <t>How to Test (Steps)</t>
        </is>
      </c>
      <c r="E4" s="3" t="inlineStr">
        <is>
          <t>Expected Result</t>
        </is>
      </c>
      <c r="F4" s="3" t="inlineStr">
        <is>
          <t>Priority</t>
        </is>
      </c>
      <c r="G4" s="3" t="inlineStr">
        <is>
          <t>Result</t>
        </is>
      </c>
      <c r="H4" s="3" t="inlineStr">
        <is>
          <t>Tester</t>
        </is>
      </c>
      <c r="I4" s="3" t="inlineStr">
        <is>
          <t>Date Tested</t>
        </is>
      </c>
      <c r="J4" s="3" t="inlineStr">
        <is>
          <t>Comments / Screenshot</t>
        </is>
      </c>
      <c r="K4" s="3" t="inlineStr">
        <is>
          <t>Help Reference</t>
        </is>
      </c>
    </row>
    <row r="5" ht="18" customHeight="1">
      <c r="A5" s="16" t="inlineStr">
        <is>
          <t>▸ Live — Roster</t>
        </is>
      </c>
      <c r="B5" s="17" t="n"/>
      <c r="C5" s="17" t="n"/>
      <c r="D5" s="17" t="n"/>
      <c r="E5" s="17" t="n"/>
      <c r="F5" s="17" t="n"/>
      <c r="G5" s="17" t="n"/>
      <c r="H5" s="17" t="n"/>
      <c r="I5" s="17" t="n"/>
      <c r="J5" s="17" t="n"/>
      <c r="K5" s="17" t="n"/>
    </row>
    <row r="6">
      <c r="A6" s="18" t="inlineStr">
        <is>
          <t>T2-LV-001</t>
        </is>
      </c>
      <c r="B6" s="19" t="inlineStr">
        <is>
          <t>Live — Roster</t>
        </is>
      </c>
      <c r="C6" s="19" t="inlineStr">
        <is>
          <t>Live opens empty and loads data only after Apply Filters</t>
        </is>
      </c>
      <c r="D6" s="19" t="inlineStr">
        <is>
          <t>1. Open the Live tab.
2. Observe the Gantt canvas and the toolbar next to the filter icon.
3. Click the inline 'No data loaded — apply filters to pull data' reminder to open the Filters dialog.
4. Without setting any filter, click Apply Filters.</t>
        </is>
      </c>
      <c r="E6" s="19" t="inlineStr">
        <is>
          <t>On open the Gantt is empty with the inline 'No data loaded — apply filters to pull data' reminder shown next to the filter icon. After Apply Filters the canvas populates with crew rows (each row = one crew member, coloured blocks = assignments); applying with no filter loads the complete schedule.</t>
        </is>
      </c>
      <c r="F6" s="18" t="inlineStr">
        <is>
          <t>High</t>
        </is>
      </c>
      <c r="G6" s="18" t="inlineStr">
        <is>
          <t>Not Tested</t>
        </is>
      </c>
      <c r="H6" s="19" t="inlineStr"/>
      <c r="I6" s="18" t="inlineStr"/>
      <c r="J6" s="19" t="inlineStr"/>
      <c r="K6" s="19" t="inlineStr">
        <is>
          <t>Live › Overview</t>
        </is>
      </c>
    </row>
    <row r="7">
      <c r="A7" s="20" t="inlineStr">
        <is>
          <t>T2-LV-002</t>
        </is>
      </c>
      <c r="B7" s="21" t="inlineStr">
        <is>
          <t>Live — Roster</t>
        </is>
      </c>
      <c r="C7" s="21" t="inlineStr">
        <is>
          <t>Selecting roster periods sets a merged window and requires Apply Filters</t>
        </is>
      </c>
      <c r="D7" s="21" t="inlineStr">
        <is>
          <t>1. Click the roster-period selector (calendar icon reading 'Select RPs').
2. In the dropdown pick two periods (e.g. 2026RP08 and the next).
3. Read the trigger label and observe the toolbar reminder.
4. Click the RP-changed reminder (or the Filter button) and press Apply Filters.</t>
        </is>
      </c>
      <c r="E7" s="21" t="inlineStr">
        <is>
          <t>The trigger shows the merged window on one line (e.g. 2026-07-25 ~ 2026-09-07); before applying, an 'RP Date changed — apply filters to pull data' reminder is shown; the Gantt window equals [earliest start − 7 days, latest end + 7 days]; data loads only after Apply Filters.</t>
        </is>
      </c>
      <c r="F7" s="20" t="inlineStr">
        <is>
          <t>Medium</t>
        </is>
      </c>
      <c r="G7" s="20" t="inlineStr">
        <is>
          <t>Not Tested</t>
        </is>
      </c>
      <c r="H7" s="21" t="inlineStr"/>
      <c r="I7" s="20" t="inlineStr"/>
      <c r="J7" s="21" t="inlineStr"/>
      <c r="K7" s="21" t="inlineStr">
        <is>
          <t>Live › Setting date range</t>
        </is>
      </c>
    </row>
    <row r="8">
      <c r="A8" s="18" t="inlineStr">
        <is>
          <t>T2-LV-003</t>
        </is>
      </c>
      <c r="B8" s="19" t="inlineStr">
        <is>
          <t>Live — Roster</t>
        </is>
      </c>
      <c r="C8" s="19" t="inlineStr">
        <is>
          <t>Roster-period selection is capped at six consecutive periods</t>
        </is>
      </c>
      <c r="D8" s="19" t="inlineStr">
        <is>
          <t>1. Open the roster-period selector dropdown.
2. Select six consecutive periods and read the footer note.
3. Select a seventh period beyond that span.
4. Optionally click the Refresh (circular-arrows ↻) button.</t>
        </is>
      </c>
      <c r="E8" s="19" t="inlineStr">
        <is>
          <t>The footer shows 'Max 6 RPs span (performance)'; adding a period beyond six rebuilds a six-period window containing the newly-selected period (never more than six). Refresh reloads the same window with latest crew data and spins while loading.</t>
        </is>
      </c>
      <c r="F8" s="18" t="inlineStr">
        <is>
          <t>Medium</t>
        </is>
      </c>
      <c r="G8" s="18" t="inlineStr">
        <is>
          <t>Not Tested</t>
        </is>
      </c>
      <c r="H8" s="19" t="inlineStr"/>
      <c r="I8" s="18" t="inlineStr"/>
      <c r="J8" s="19" t="inlineStr"/>
      <c r="K8" s="19" t="inlineStr">
        <is>
          <t>Live › Setting date range</t>
        </is>
      </c>
    </row>
    <row r="9">
      <c r="A9" s="20" t="inlineStr">
        <is>
          <t>T2-LV-004</t>
        </is>
      </c>
      <c r="B9" s="21" t="inlineStr">
        <is>
          <t>Live — Roster</t>
        </is>
      </c>
      <c r="C9" s="21" t="inlineStr">
        <is>
          <t>Crew-tab filter reloads canvas and shows filtered/total badge</t>
        </is>
      </c>
      <c r="D9" s="21" t="inlineStr">
        <is>
          <t>1. Click the Filters button in the toolbar.
2. On the Crew tab select a Division (P or C), a Base, and a Rank.
3. Confirm the chosen filters appear as chips in the Active summary bar and the footer shows the active count (e.g. '3 filters active').
4. Click Apply Filters.</t>
        </is>
      </c>
      <c r="E9" s="21" t="inlineStr">
        <is>
          <t>The canvas reloads showing only matching crew; the Filters button turns amber with a count (e.g. 'Filters (3 active)'); the Roster pane title bar shows an amber funnel badge with filtered/total counts (e.g. 12/80). Live allows only one division at a time.</t>
        </is>
      </c>
      <c r="F9" s="20" t="inlineStr">
        <is>
          <t>Medium</t>
        </is>
      </c>
      <c r="G9" s="20" t="inlineStr">
        <is>
          <t>Not Tested</t>
        </is>
      </c>
      <c r="H9" s="21" t="inlineStr"/>
      <c r="I9" s="20" t="inlineStr"/>
      <c r="J9" s="21" t="inlineStr"/>
      <c r="K9" s="21" t="inlineStr">
        <is>
          <t>Live › Filtering crew, pairings, flights</t>
        </is>
      </c>
    </row>
    <row r="10">
      <c r="A10" s="18" t="inlineStr">
        <is>
          <t>T2-LV-005</t>
        </is>
      </c>
      <c r="B10" s="19" t="inlineStr">
        <is>
          <t>Live — Roster</t>
        </is>
      </c>
      <c r="C10" s="19" t="inlineStr">
        <is>
          <t>Pairing ID is a hard filter; Crew ID brings rows to top</t>
        </is>
      </c>
      <c r="D10" s="19" t="inlineStr">
        <is>
          <t>1. Open Filters, go to the Pairing tab, type one or more numeric IDs in Pairing ID (comma/period/space separated), Apply.
2. Observe the Pairing pane.
3. Open Filters, go to the Crew tab, type one or more Crew IDs (comma/period separated) in Crew ID, Apply.
4. Clear both fields and Apply again.</t>
        </is>
      </c>
      <c r="E10" s="19" t="inlineStr">
        <is>
          <t>Pairing ID is a hard filter — only those exact pairings remain visible in the Pairing pane. Crew ID does not hide others: the named crew move to the top of the Roster pane (added if not loaded) while everyone else stays below. Clearing the fields and re-applying removes the filters.</t>
        </is>
      </c>
      <c r="F10" s="18" t="inlineStr">
        <is>
          <t>Medium</t>
        </is>
      </c>
      <c r="G10" s="18" t="inlineStr">
        <is>
          <t>Not Tested</t>
        </is>
      </c>
      <c r="H10" s="19" t="inlineStr"/>
      <c r="I10" s="18" t="inlineStr"/>
      <c r="J10" s="19" t="inlineStr"/>
      <c r="K10" s="19" t="inlineStr">
        <is>
          <t>Live › Filtering crew, pairings, flights</t>
        </is>
      </c>
    </row>
    <row r="11">
      <c r="A11" s="20" t="inlineStr">
        <is>
          <t>T2-LV-006</t>
        </is>
      </c>
      <c r="B11" s="21" t="inlineStr">
        <is>
          <t>Live — Roster</t>
        </is>
      </c>
      <c r="C11" s="21" t="inlineStr">
        <is>
          <t>Pane limits enforced and Find Crew by Pairing floats crew to top</t>
        </is>
      </c>
      <c r="D11" s="21" t="inlineStr">
        <is>
          <t>1. Click the Roster pane button twice, the Pairing button twice, and the Flight button once, watching for disabled add buttons.
2. Hover a disabled add button to read its tooltip.
3. In the Pairing pane right-click a flight block and choose Find Crew by Pairing.
4. Click Reset next to the pane buttons.</t>
        </is>
      </c>
      <c r="E11" s="21" t="inlineStr">
        <is>
          <t>At most 2 Roster, 2 Pairing, 1 Flight and 4 panes total are allowed; the blocked add button is disabled with a tooltip such as 'Max 2 Roster panes' / 'Max 4 panes'. Find Crew by Pairing floats all crew assigned to that pairing to the top of the matching Roster pane (selected). Reset restores the default one-Roster/one-Pairing layout.</t>
        </is>
      </c>
      <c r="F11" s="20" t="inlineStr">
        <is>
          <t>Medium</t>
        </is>
      </c>
      <c r="G11" s="20" t="inlineStr">
        <is>
          <t>Not Tested</t>
        </is>
      </c>
      <c r="H11" s="21" t="inlineStr"/>
      <c r="I11" s="20" t="inlineStr"/>
      <c r="J11" s="21" t="inlineStr"/>
      <c r="K11" s="21" t="inlineStr">
        <is>
          <t>Live › Working with panes</t>
        </is>
      </c>
    </row>
    <row r="12">
      <c r="A12" s="18" t="inlineStr">
        <is>
          <t>T2-LV-007</t>
        </is>
      </c>
      <c r="B12" s="19" t="inlineStr">
        <is>
          <t>Live — Roster</t>
        </is>
      </c>
      <c r="C12" s="19" t="inlineStr">
        <is>
          <t>Pairing label appears in pane, puck, and Pairing Info title</t>
        </is>
      </c>
      <c r="D12" s="19" t="inlineStr">
        <is>
          <t>1. Open a Pairing pane and read the first 'Pairing' column.
2. Click a pairing row to open the Pairing Info dialog and read its title.
3. Open Filters › Pairing tab, type a label substring in the Label field, Apply.</t>
        </is>
      </c>
      <c r="E12" s="19" t="inlineStr">
        <is>
          <t>The Pairing column shows the label for each pairing (falling back to P-{id} when unset); the Pairing Info dialog title leads with the label then the internal id (e.g. 'V4538 #10708'); the Label substring filter shows only pairings whose label contains the entered text.</t>
        </is>
      </c>
      <c r="F12" s="18" t="inlineStr">
        <is>
          <t>Medium</t>
        </is>
      </c>
      <c r="G12" s="18" t="inlineStr">
        <is>
          <t>Not Tested</t>
        </is>
      </c>
      <c r="H12" s="19" t="inlineStr"/>
      <c r="I12" s="18" t="inlineStr"/>
      <c r="J12" s="19" t="inlineStr"/>
      <c r="K12" s="19" t="inlineStr">
        <is>
          <t>Live › Pairing label</t>
        </is>
      </c>
    </row>
    <row r="13">
      <c r="A13" s="20" t="inlineStr">
        <is>
          <t>T2-LV-008</t>
        </is>
      </c>
      <c r="B13" s="21" t="inlineStr">
        <is>
          <t>Live — Roster</t>
        </is>
      </c>
      <c r="C13" s="21" t="inlineStr">
        <is>
          <t>Flight Navi PTNs/Roster/COF columns navigate to pairings, crew, detail</t>
        </is>
      </c>
      <c r="D13" s="21" t="inlineStr">
        <is>
          <t>1. In the Flight pane condition strip click the Navi (compass) button to open the Flight Navi window.
2. Use the smart search box to type a flight number (e.g. 924).
3. Click the PTNs count on a row, then the Roster count, then COF.</t>
        </is>
      </c>
      <c r="E13" s="21" t="inlineStr">
        <is>
          <t>Flight Navi opens as a non-modal table of flights in the date range (panes stay live behind it). Clicking PTNs brings that flight's pairings to the top of the Pairing pane; Roster brings its crew to the top of the Roster pane; COF opens the flight's detail card. The window stays open after each click.</t>
        </is>
      </c>
      <c r="F13" s="20" t="inlineStr">
        <is>
          <t>Medium</t>
        </is>
      </c>
      <c r="G13" s="20" t="inlineStr">
        <is>
          <t>Not Tested</t>
        </is>
      </c>
      <c r="H13" s="21" t="inlineStr"/>
      <c r="I13" s="20" t="inlineStr"/>
      <c r="J13" s="21" t="inlineStr"/>
      <c r="K13" s="21" t="inlineStr">
        <is>
          <t>Live › Navigating with Flight Navi</t>
        </is>
      </c>
    </row>
    <row r="14">
      <c r="A14" s="18" t="inlineStr">
        <is>
          <t>T2-LV-009</t>
        </is>
      </c>
      <c r="B14" s="19" t="inlineStr">
        <is>
          <t>Live — Roster</t>
        </is>
      </c>
      <c r="C14" s="19" t="inlineStr">
        <is>
          <t>Reassign a flight duty by dragging to another crew row (draft)</t>
        </is>
      </c>
      <c r="D14" s="19" t="inlineStr">
        <is>
          <t>1. In the Roster pane click a task block to select it (toolbar shows 'N sel').
2. Drag the block straight up/down onto a different crew member's row and release.
3. Observe the Save button badge.
4. Press Ctrl+S (⌘S on macOS) to save.</t>
        </is>
      </c>
      <c r="E14" s="19" t="inlineStr">
        <is>
          <t>The block re-homes to the target crew row; the change is held as a draft and the Save button shows a pending-change count badge; after Ctrl+S the badge clears once saved. Selecting a block shows the 'N sel' count in the toolbar.</t>
        </is>
      </c>
      <c r="F14" s="18" t="inlineStr">
        <is>
          <t>High</t>
        </is>
      </c>
      <c r="G14" s="18" t="inlineStr">
        <is>
          <t>Not Tested</t>
        </is>
      </c>
      <c r="H14" s="19" t="inlineStr"/>
      <c r="I14" s="18" t="inlineStr"/>
      <c r="J14" s="19" t="inlineStr"/>
      <c r="K14" s="19" t="inlineStr">
        <is>
          <t>Live › Editing assignments</t>
        </is>
      </c>
    </row>
    <row r="15">
      <c r="A15" s="20" t="inlineStr">
        <is>
          <t>T2-LV-010</t>
        </is>
      </c>
      <c r="B15" s="21" t="inlineStr">
        <is>
          <t>Live — Roster</t>
        </is>
      </c>
      <c r="C15" s="21" t="inlineStr">
        <is>
          <t>Box-select and Delete removes all pairing segments together</t>
        </is>
      </c>
      <c r="D15" s="21" t="inlineStr">
        <is>
          <t>1. Press on empty space and drag a box across several blocks to box-select them.
2. Right-click one selected block and confirm it reads 'Delete N Tasks'.
3. Choose Delete N Tasks (or press Del/Backspace).
4. Delete a single segment that belongs to a pairing.</t>
        </is>
      </c>
      <c r="E15" s="21" t="inlineStr">
        <is>
          <t>Box-select selects every block the box touches; right-click shows 'Delete N Tasks' and removes the whole selection at once. Deleting a block that belongs to a pairing removes all of that crew member's segments of the pairing together, not just the clicked segment. Changes are drafts until saved.</t>
        </is>
      </c>
      <c r="F15" s="20" t="inlineStr">
        <is>
          <t>High</t>
        </is>
      </c>
      <c r="G15" s="20" t="inlineStr">
        <is>
          <t>Not Tested</t>
        </is>
      </c>
      <c r="H15" s="21" t="inlineStr"/>
      <c r="I15" s="20" t="inlineStr"/>
      <c r="J15" s="21" t="inlineStr"/>
      <c r="K15" s="21" t="inlineStr">
        <is>
          <t>Live › Editing assignments</t>
        </is>
      </c>
    </row>
    <row r="16">
      <c r="A16" s="18" t="inlineStr">
        <is>
          <t>T2-LV-011</t>
        </is>
      </c>
      <c r="B16" s="19" t="inlineStr">
        <is>
          <t>Live — Roster</t>
        </is>
      </c>
      <c r="C16" s="19" t="inlineStr">
        <is>
          <t>Roster duty vs row-background right-click menus differ</t>
        </is>
      </c>
      <c r="D16" s="19" t="inlineStr">
        <is>
          <t>1. Right-click a flight task block on a crew row.
2. Note the actions offered.
3. Right-click the empty background of the same crew row (not a block).
4. Note the actions offered.</t>
        </is>
      </c>
      <c r="E16" s="19" t="inlineStr">
        <is>
          <t>The flight-duty menu offers Edit Task and Swap Task (ground duty shows Edit Ground Task), plus View pairing detail / Locate Pairing for paired duties, and Schedule Details, Daily Task Calendar, Delete (or Delete N Tasks), Add/Edit Memo. The row-background menu offers Crew Info, Create Ground Task, Add Memo, Schedule Details, Daily Task Calendar, and Manday Info.</t>
        </is>
      </c>
      <c r="F16" s="18" t="inlineStr">
        <is>
          <t>Medium</t>
        </is>
      </c>
      <c r="G16" s="18" t="inlineStr">
        <is>
          <t>Not Tested</t>
        </is>
      </c>
      <c r="H16" s="19" t="inlineStr"/>
      <c r="I16" s="18" t="inlineStr"/>
      <c r="J16" s="19" t="inlineStr"/>
      <c r="K16" s="19" t="inlineStr">
        <is>
          <t>Live › Right-click context menu</t>
        </is>
      </c>
    </row>
    <row r="17">
      <c r="A17" s="20" t="inlineStr">
        <is>
          <t>T2-LV-012</t>
        </is>
      </c>
      <c r="B17" s="21" t="inlineStr">
        <is>
          <t>Live — Roster</t>
        </is>
      </c>
      <c r="C17" s="21" t="inlineStr">
        <is>
          <t>Schedule Details groups a pairing's duties into one summed row</t>
        </is>
      </c>
      <c r="D17" s="21" t="inlineStr">
        <is>
          <t>1. Right-click a crew task block and choose Schedule Details.
2. Verify the title reads 'Schedule Details — {crew ID}' and the RP Date stepper shows one roster period.
3. Read the table columns and the pairing row.
4. Toggle the Timezone control between base timezone and UTC.</t>
        </is>
      </c>
      <c r="E17" s="21" t="inlineStr">
        <is>
          <t>The dialog lists columns Type, Start, End, Credit, Label, Pairing, Source; the duties of one pairing appear as a single row spanning earliest start to latest end with credit summed across segments; standalone day-off/ground rows are separate. RP Date shows one period at a time; the Timezone toggle switches Start/End between the crew's base-airport timezone and UTC. Row count (e.g. '12 rows') shows top-right.</t>
        </is>
      </c>
      <c r="F17" s="20" t="inlineStr">
        <is>
          <t>Medium</t>
        </is>
      </c>
      <c r="G17" s="20" t="inlineStr">
        <is>
          <t>Not Tested</t>
        </is>
      </c>
      <c r="H17" s="21" t="inlineStr"/>
      <c r="I17" s="20" t="inlineStr"/>
      <c r="J17" s="21" t="inlineStr"/>
      <c r="K17" s="21" t="inlineStr">
        <is>
          <t>Live › Schedule Details</t>
        </is>
      </c>
    </row>
    <row r="18">
      <c r="A18" s="18" t="inlineStr">
        <is>
          <t>T2-LV-013</t>
        </is>
      </c>
      <c r="B18" s="19" t="inlineStr">
        <is>
          <t>Live — Roster</t>
        </is>
      </c>
      <c r="C18" s="19" t="inlineStr">
        <is>
          <t>Daily Task Calendar shows week-at-a-glance grid with Statistics panel</t>
        </is>
      </c>
      <c r="D18" s="19" t="inlineStr">
        <is>
          <t>1. Right-click a crew row background or duty and choose Daily Task Calendar.
2. Read the Mon–Sun grid and the day chips.
3. Read the Statistics panel on the right.
4. Click a task chip.</t>
        </is>
      </c>
      <c r="E18" s="19" t="inlineStr">
        <is>
          <t>A month grid with Mon–Sun columns shows colour-coded task chips per day (crew base timezone), empty in-range days show 'Open', and days with more than 3 tasks show +N. The Statistics panel lists RpCred, Flight, Reserve, Ground, Day Off, Open, Tasks, Max Work, Max Off/Open, Max Reserve. Clicking a chip selects the roster task on the canvas and rings the chip.</t>
        </is>
      </c>
      <c r="F18" s="18" t="inlineStr">
        <is>
          <t>Medium</t>
        </is>
      </c>
      <c r="G18" s="18" t="inlineStr">
        <is>
          <t>Not Tested</t>
        </is>
      </c>
      <c r="H18" s="19" t="inlineStr"/>
      <c r="I18" s="18" t="inlineStr"/>
      <c r="J18" s="19" t="inlineStr"/>
      <c r="K18" s="19" t="inlineStr">
        <is>
          <t>Live › Daily Task Calendar</t>
        </is>
      </c>
    </row>
    <row r="19">
      <c r="A19" s="20" t="inlineStr">
        <is>
          <t>T2-LV-014</t>
        </is>
      </c>
      <c r="B19" s="21" t="inlineStr">
        <is>
          <t>Live — Roster</t>
        </is>
      </c>
      <c r="C19" s="21" t="inlineStr">
        <is>
          <t>Manday Info shows daily Credit/BH/DP for the leftmost visible month</t>
        </is>
      </c>
      <c r="D19" s="21" t="inlineStr">
        <is>
          <t>1. Right-click a crew member's row background (not a task block) and choose Manday Info.
2. Read the dialog title and header.
3. Read the table rows.</t>
        </is>
      </c>
      <c r="E19" s="21" t="inlineStr">
        <is>
          <t>The title reads 'Manday Info — {crew ID} ({YYYY-MM})' for the leftmost calendar month visible in the Gantt, and the header shows the crew's Base. The table has one row per calendar day with Date, Credit, BH, and DP shown as H:MM (e.g. 8:00); days without data show a zero value. No timezone toggle is present.</t>
        </is>
      </c>
      <c r="F19" s="20" t="inlineStr">
        <is>
          <t>Medium</t>
        </is>
      </c>
      <c r="G19" s="20" t="inlineStr">
        <is>
          <t>Not Tested</t>
        </is>
      </c>
      <c r="H19" s="21" t="inlineStr"/>
      <c r="I19" s="20" t="inlineStr"/>
      <c r="J19" s="21" t="inlineStr"/>
      <c r="K19" s="21" t="inlineStr">
        <is>
          <t>Live › Manday Info</t>
        </is>
      </c>
    </row>
    <row r="20">
      <c r="A20" s="18" t="inlineStr">
        <is>
          <t>T2-LV-015</t>
        </is>
      </c>
      <c r="B20" s="19" t="inlineStr">
        <is>
          <t>Live — Roster</t>
        </is>
      </c>
      <c r="C20" s="19" t="inlineStr">
        <is>
          <t>Crew Info shows profile grid plus six record tables newest first</t>
        </is>
      </c>
      <c r="D20" s="19" t="inlineStr">
        <is>
          <t>1. Right-click a crew member's row background and choose Crew Info.
2. Read the summary grid at the top.
3. Scroll through the record sections.</t>
        </is>
      </c>
      <c r="E20" s="19" t="inlineStr">
        <is>
          <t>The dialog title shows the crew member's full name; the summary grid lists profile fields (name, crew ID, base, rank, fleet, other scalars) with blanks shown as a dash. Below are six tables — Crew Base, Crew Rank, Crew Fleet, Crew Qualification, Crew Certification, Crew Team — each sorted by effective date most-recent-first, and any empty section shows 'No records'.</t>
        </is>
      </c>
      <c r="F20" s="18" t="inlineStr">
        <is>
          <t>Low</t>
        </is>
      </c>
      <c r="G20" s="18" t="inlineStr">
        <is>
          <t>Not Tested</t>
        </is>
      </c>
      <c r="H20" s="19" t="inlineStr"/>
      <c r="I20" s="18" t="inlineStr"/>
      <c r="J20" s="19" t="inlineStr"/>
      <c r="K20" s="19" t="inlineStr">
        <is>
          <t>Live › Crew Info</t>
        </is>
      </c>
    </row>
    <row r="21">
      <c r="A21" s="20" t="inlineStr">
        <is>
          <t>T2-LV-016</t>
        </is>
      </c>
      <c r="B21" s="21" t="inlineStr">
        <is>
          <t>Live — Roster</t>
        </is>
      </c>
      <c r="C21" s="21" t="inlineStr">
        <is>
          <t>Add a crew memo and see the yellow sticky-note icon on the row</t>
        </is>
      </c>
      <c r="D21" s="21" t="inlineStr">
        <is>
          <t>1. Right-click a duty on a crew row; confirm the menu shows Add Memo (sticky-note icon) when no memo covers that date.
2. In the 'Add Crew Memo' dialog leave Title blank and enter Memo text (required).
3. Click Add.
4. Right-click the same duty, choose Edit Memo, and click Delete.</t>
        </is>
      </c>
      <c r="E21" s="21" t="inlineStr">
        <is>
          <t>The Add Crew Memo dialog shows the crew as 'Crew &lt;id&gt;' and requires memo text; after Add a small yellow sticky-note icon appears on that crew's row at the memo's dates. Re-opening via Edit Memo and clicking Delete (trash icon, left of the footer) removes the memo and its icon.</t>
        </is>
      </c>
      <c r="F21" s="20" t="inlineStr">
        <is>
          <t>Medium</t>
        </is>
      </c>
      <c r="G21" s="20" t="inlineStr">
        <is>
          <t>Not Tested</t>
        </is>
      </c>
      <c r="H21" s="21" t="inlineStr"/>
      <c r="I21" s="20" t="inlineStr"/>
      <c r="J21" s="21" t="inlineStr"/>
      <c r="K21" s="21" t="inlineStr">
        <is>
          <t>Live › Adding crew memo</t>
        </is>
      </c>
    </row>
    <row r="22">
      <c r="A22" s="18" t="inlineStr">
        <is>
          <t>T2-LV-017</t>
        </is>
      </c>
      <c r="B22" s="19" t="inlineStr">
        <is>
          <t>Live — Roster</t>
        </is>
      </c>
      <c r="C22" s="19" t="inlineStr">
        <is>
          <t>Define reserve slots and Generate RES pairings with a conflict policy</t>
        </is>
      </c>
      <c r="D22" s="19" t="inlineStr">
        <is>
          <t>1. In the Pairing pane condition strip click the RES Pairing Creator (shield-plus) button to open the RES Pairing Planner.
2. On the Define tab pick a Base chip and Pilot (P) or Cabin (C) division.
3. Click a calendar date cell, enter AM/PM reserve slot counts per rank in the entry panel, click Apply.
4. At the bottom of the Define page review the summary table, choose a Conflict policy (Skip/Overwrite/Add), and click Generate.</t>
        </is>
      </c>
      <c r="E22" s="19" t="inlineStr">
        <is>
          <t>The planned cell shows a coloured indicator after Apply. On Generate the dialog closes, the Pairing pane filters to the newly created reserve pairings (PRAM/PRPM for pilots, CRAM/CRPM for cabin), and a banner confirms how many were created or skipped per the chosen conflict policy.</t>
        </is>
      </c>
      <c r="F22" s="18" t="inlineStr">
        <is>
          <t>High</t>
        </is>
      </c>
      <c r="G22" s="18" t="inlineStr">
        <is>
          <t>Not Tested</t>
        </is>
      </c>
      <c r="H22" s="19" t="inlineStr"/>
      <c r="I22" s="18" t="inlineStr"/>
      <c r="J22" s="19" t="inlineStr"/>
      <c r="K22" s="19" t="inlineStr">
        <is>
          <t>Live › Creating reserve pairings (RES Planner)</t>
        </is>
      </c>
    </row>
    <row r="23">
      <c r="A23" s="20" t="inlineStr">
        <is>
          <t>T2-LV-018</t>
        </is>
      </c>
      <c r="B23" s="21" t="inlineStr">
        <is>
          <t>Live — Roster</t>
        </is>
      </c>
      <c r="C23" s="21" t="inlineStr">
        <is>
          <t>Manage existing RES pairings — Modify and Delete with published blocked</t>
        </is>
      </c>
      <c r="D23" s="21" t="inlineStr">
        <is>
          <t>1. Open the Manage existing tab.
2. Set the filter bar (Base, Division, date range, type PRAM/PRPM/CRAM/CRPM) and click Load.
3. Select one or more rows via checkbox; in the action bar click Modify, enter new plan values per rank, click Apply.
4. Select a published pairing plus an unpublished one and click Delete.</t>
        </is>
      </c>
      <c r="E23" s="21" t="inlineStr">
        <is>
          <t>Load shows a KPI summary (total pairings, per-call-code counts, crew slots, bases and dates covered) and a table with each pairing's date/base/division/label/type/plan values and Open/Full status. Modify updates plan values on the selected rows. Delete confirms the count and removes unpublished pairings, while pairings already published to the live roster cannot be deleted and are reported as blocked.</t>
        </is>
      </c>
      <c r="F23" s="20" t="inlineStr">
        <is>
          <t>High</t>
        </is>
      </c>
      <c r="G23" s="20" t="inlineStr">
        <is>
          <t>Not Tested</t>
        </is>
      </c>
      <c r="H23" s="21" t="inlineStr"/>
      <c r="I23" s="20" t="inlineStr"/>
      <c r="J23" s="21" t="inlineStr"/>
      <c r="K23" s="21" t="inlineStr">
        <is>
          <t>Live › Creating reserve pairings (RES Planner)</t>
        </is>
      </c>
    </row>
    <row r="24">
      <c r="A24" s="18" t="inlineStr">
        <is>
          <t>T2-LV-019</t>
        </is>
      </c>
      <c r="B24" s="19" t="inlineStr">
        <is>
          <t>Live — Roster</t>
        </is>
      </c>
      <c r="C24" s="19" t="inlineStr">
        <is>
          <t>Undo/redo drafts then save with pending-change badge</t>
        </is>
      </c>
      <c r="D24" s="19" t="inlineStr">
        <is>
          <t>1. Make two draft edits and read the Save button badge.
2. Press Ctrl+Z (⌘Z) once to undo the last edit.
3. Press Ctrl+Y (or Ctrl+Shift+Z) to redo it.
4. Press Ctrl+S (⌘S) to save.</t>
        </is>
      </c>
      <c r="E24" s="19" t="inlineStr">
        <is>
          <t>The Save button shows a badge with the number of pending changes; each Ctrl+Z undoes one more edit and Ctrl+Y/Ctrl+Shift+Z re-applies it. On Ctrl+S the Save button shows a spinner with a 'Saving...' tooltip, then the badge clears once all changes are saved.</t>
        </is>
      </c>
      <c r="F24" s="18" t="inlineStr">
        <is>
          <t>High</t>
        </is>
      </c>
      <c r="G24" s="18" t="inlineStr">
        <is>
          <t>Not Tested</t>
        </is>
      </c>
      <c r="H24" s="19" t="inlineStr"/>
      <c r="I24" s="18" t="inlineStr"/>
      <c r="J24" s="19" t="inlineStr"/>
      <c r="K24" s="19" t="inlineStr">
        <is>
          <t>Live › Saving, undoing, and redoing</t>
        </is>
      </c>
    </row>
    <row r="25">
      <c r="A25" s="20" t="inlineStr">
        <is>
          <t>T2-LV-020</t>
        </is>
      </c>
      <c r="B25" s="21" t="inlineStr">
        <is>
          <t>Live — Roster</t>
        </is>
      </c>
      <c r="C25" s="21" t="inlineStr">
        <is>
          <t>Save with new violations opens confirmation with severity badges</t>
        </is>
      </c>
      <c r="D25" s="21" t="inlineStr">
        <is>
          <t>1. Make an edit that would introduce a hard-limit error violation.
2. Press Ctrl+S; read the confirmation dialog.
3. Make an edit that introduces only an overridable warning and press Ctrl+S again.
4. Observe the Age Restriction (8030) grouping if present.</t>
        </is>
      </c>
      <c r="E25" s="21" t="inlineStr">
        <is>
          <t>Saving opens a confirmation dialog listing violations with Error/Warning/Info badges. Hard-limit errors allow only Cancel; overridable warnings also offer Continue Anyway. Pairing-level Age Restriction (8030) findings are grouped into one card stating the shared flight condition once and listing every affected Crew id with its age.</t>
        </is>
      </c>
      <c r="F25" s="20" t="inlineStr">
        <is>
          <t>High</t>
        </is>
      </c>
      <c r="G25" s="20" t="inlineStr">
        <is>
          <t>Not Tested</t>
        </is>
      </c>
      <c r="H25" s="21" t="inlineStr"/>
      <c r="I25" s="20" t="inlineStr"/>
      <c r="J25" s="21" t="inlineStr"/>
      <c r="K25" s="21" t="inlineStr">
        <is>
          <t>Live › Saving, undoing, and redoing</t>
        </is>
      </c>
    </row>
    <row r="26">
      <c r="A26" s="18" t="inlineStr">
        <is>
          <t>T2-LV-021</t>
        </is>
      </c>
      <c r="B26" s="19" t="inlineStr">
        <is>
          <t>Live — Roster</t>
        </is>
      </c>
      <c r="C26" s="19" t="inlineStr">
        <is>
          <t>Create a ground task for multiple crew via the dialog</t>
        </is>
      </c>
      <c r="D26" s="19" t="inlineStr">
        <is>
          <t>1. Click the Create Ground Task (⊞) button in the toolbar.
2. In Crew IDs * type three crew IDs, pressing Enter after each (chips appear).
3. Pick an Assignment * from the dropdown (code — description) and confirm the read-only Group field auto-fills.
4. Enter Dep Arp * / Arv Arp *, a Credit in minutes, Start * and End *, then click Create.</t>
        </is>
      </c>
      <c r="E26" s="19" t="inlineStr">
        <is>
          <t>Each crew ID appears as a removable chip; the Group field auto-fills from the chosen Assignment and is not directly editable; the Credit preview shows the equivalent duration (e.g. 2h 30m) and Start/End times use the toolbar timezone (code shown beside each field). The footer shows 'Will create 3 roster entries'; on Create a ground-task block appears on each crew row as a draft (Ctrl+S to save).</t>
        </is>
      </c>
      <c r="F26" s="18" t="inlineStr">
        <is>
          <t>High</t>
        </is>
      </c>
      <c r="G26" s="18" t="inlineStr">
        <is>
          <t>Not Tested</t>
        </is>
      </c>
      <c r="H26" s="19" t="inlineStr"/>
      <c r="I26" s="18" t="inlineStr"/>
      <c r="J26" s="19" t="inlineStr"/>
      <c r="K26" s="19" t="inlineStr">
        <is>
          <t>Live › Creating a ground task</t>
        </is>
      </c>
    </row>
    <row r="27">
      <c r="A27" s="20" t="inlineStr">
        <is>
          <t>T2-LV-022</t>
        </is>
      </c>
      <c r="B27" s="21" t="inlineStr">
        <is>
          <t>Live — Roster</t>
        </is>
      </c>
      <c r="C27" s="21" t="inlineStr">
        <is>
          <t>Ground task dialog excludes FLT-group assignments and validates End&gt;Start</t>
        </is>
      </c>
      <c r="D27" s="21" t="inlineStr">
        <is>
          <t>1. Open the Assignment * dropdown and inspect available options.
2. Confirm flight-style (FLT-group) types are absent while DHD (deadhead) is present.
3. Set End earlier than or equal to Start and read the warning.
4. Right-click an existing ground task and choose Edit Ground Task; open the Danger Zone.</t>
        </is>
      </c>
      <c r="E27" s="21" t="inlineStr">
        <is>
          <t>The Assignment dropdown excludes FLT-group (flight-style) types but still offers DHD; setting End not after Start shows a warning and the resulting Duration; editing a ground task opens the editor with a 'Delete This Task' action in its Danger Zone.</t>
        </is>
      </c>
      <c r="F27" s="20" t="inlineStr">
        <is>
          <t>Medium</t>
        </is>
      </c>
      <c r="G27" s="20" t="inlineStr">
        <is>
          <t>Not Tested</t>
        </is>
      </c>
      <c r="H27" s="21" t="inlineStr"/>
      <c r="I27" s="20" t="inlineStr"/>
      <c r="J27" s="21" t="inlineStr"/>
      <c r="K27" s="21" t="inlineStr">
        <is>
          <t>Live › Creating a ground task</t>
        </is>
      </c>
    </row>
    <row r="28">
      <c r="A28" s="18" t="inlineStr">
        <is>
          <t>T2-LV-023</t>
        </is>
      </c>
      <c r="B28" s="19" t="inlineStr">
        <is>
          <t>Live — Roster</t>
        </is>
      </c>
      <c r="C28" s="19" t="inlineStr">
        <is>
          <t>Source column values gate editability in Live</t>
        </is>
      </c>
      <c r="D28" s="19" t="inlineStr">
        <is>
          <t>1. Right-click an IMP (imported) flying row and inspect Edit Task / Swap Task / drag-move availability.
2. Open the Bulk Delete Roster Flights dialog and read the Source column.
3. Use the Source filter to narrow to one value.</t>
        </is>
      </c>
      <c r="E28" s="19" t="inlineStr">
        <is>
          <t>In Live, IMP imported flying rows are immutable — Edit Task, Swap Task and drag-move are disabled, but Delete is still allowed; MA (manual) and CR (optimiser) rows are editable/deletable. The Bulk Delete dialog Source column shows each row's origin (IMP/MA/CR in Live; PA additionally in Scenario) and the Source filter lists exactly the values present.</t>
        </is>
      </c>
      <c r="F28" s="18" t="inlineStr">
        <is>
          <t>High</t>
        </is>
      </c>
      <c r="G28" s="18" t="inlineStr">
        <is>
          <t>Not Tested</t>
        </is>
      </c>
      <c r="H28" s="19" t="inlineStr"/>
      <c r="I28" s="18" t="inlineStr"/>
      <c r="J28" s="19" t="inlineStr"/>
      <c r="K28" s="19" t="inlineStr">
        <is>
          <t>Live › Understanding the Source column</t>
        </is>
      </c>
    </row>
    <row r="29">
      <c r="A29" s="20" t="inlineStr">
        <is>
          <t>T2-LV-024</t>
        </is>
      </c>
      <c r="B29" s="21" t="inlineStr">
        <is>
          <t>Live — Roster</t>
        </is>
      </c>
      <c r="C29" s="21" t="inlineStr">
        <is>
          <t>Timezone selector redraws canvas keeping the same calendar days</t>
        </is>
      </c>
      <c r="D29" s="21" t="inlineStr">
        <is>
          <t>1. Click the timezone selector (clock icon + airport code + timezone ID) in the toolbar.
2. Confirm the dropdown is headed 'Display Timezone' with UTC first, then ★ Airline Bases, then ✈ Other Airports.
3. Pick an airport entry and observe the canvas.</t>
        </is>
      </c>
      <c r="E29" s="21" t="inlineStr">
        <is>
          <t>The dropdown lists UTC pinned at the top, then Airline Bases, then Other Airports, each row showing code, name, timezone ID, and UTC offset (e.g. UTC-240), with the active one ticked. Selecting a zone immediately re-draws every time in that zone while keeping the same calendar days on screen; the selection persists between sessions.</t>
        </is>
      </c>
      <c r="F29" s="20" t="inlineStr">
        <is>
          <t>Medium</t>
        </is>
      </c>
      <c r="G29" s="20" t="inlineStr">
        <is>
          <t>Not Tested</t>
        </is>
      </c>
      <c r="H29" s="21" t="inlineStr"/>
      <c r="I29" s="20" t="inlineStr"/>
      <c r="J29" s="21" t="inlineStr"/>
      <c r="K29" s="21" t="inlineStr">
        <is>
          <t>Live › Switching time zones</t>
        </is>
      </c>
    </row>
    <row r="30">
      <c r="A30" s="18" t="inlineStr">
        <is>
          <t>T2-LV-025</t>
        </is>
      </c>
      <c r="B30" s="19" t="inlineStr">
        <is>
          <t>Live — Roster</t>
        </is>
      </c>
      <c r="C30" s="19" t="inlineStr">
        <is>
          <t>Switching division rule set narrows filters and re-checks edits</t>
        </is>
      </c>
      <c r="D30" s="19" t="inlineStr">
        <is>
          <t>1. Click the rule set selector (shield-check icon + active division/name, e.g. 'P · 103').
2. Click Division C to switch to its enabled rule set.
3. Make an edit on the canvas and watch the toolbar.</t>
        </is>
      </c>
      <c r="E30" s="19" t="inlineStr">
        <is>
          <t>Switching to Division C applies that division's enabled rule set (shown as 'C · name'), narrows the crew and pairing filters to that division, and clears the current violation highlights. Subsequent edits are re-checked against the new rule set, with a transient 'Checking...' indicator on the right of the toolbar during a check.</t>
        </is>
      </c>
      <c r="F30" s="18" t="inlineStr">
        <is>
          <t>High</t>
        </is>
      </c>
      <c r="G30" s="18" t="inlineStr">
        <is>
          <t>Not Tested</t>
        </is>
      </c>
      <c r="H30" s="19" t="inlineStr"/>
      <c r="I30" s="18" t="inlineStr"/>
      <c r="J30" s="19" t="inlineStr"/>
      <c r="K30" s="19" t="inlineStr">
        <is>
          <t>Live › Choosing rule set</t>
        </is>
      </c>
    </row>
    <row r="31">
      <c r="A31" s="20" t="inlineStr">
        <is>
          <t>T2-LV-026</t>
        </is>
      </c>
      <c r="B31" s="21" t="inlineStr">
        <is>
          <t>Live — Roster</t>
        </is>
      </c>
      <c r="C31" s="21" t="inlineStr">
        <is>
          <t>Zoom controls and GO TO RPDate axis menu change the view span</t>
        </is>
      </c>
      <c r="D31" s="21" t="inlineStr">
        <is>
          <t>1. Click Zoom In (magnifier-plus) or press Ctrl++.
2. Click Zoom Out (magnifier-minus) or press Ctrl+−.
3. Right-click the time axis (date ruler) and pick a period from the GO TO RPDate menu.</t>
        </is>
      </c>
      <c r="E31" s="21" t="inlineStr">
        <is>
          <t>Zoom In shows fewer days at higher detail; Zoom Out shows more days; buttons disable at min/max zoom. Right-clicking the time axis opens a menu listing currently-loaded roster periods under GO TO RPDate — choosing one zooms so that period fills the view — and also offers Daily Gantt Statistics for the day under the cursor.</t>
        </is>
      </c>
      <c r="F31" s="20" t="inlineStr">
        <is>
          <t>Medium</t>
        </is>
      </c>
      <c r="G31" s="20" t="inlineStr">
        <is>
          <t>Not Tested</t>
        </is>
      </c>
      <c r="H31" s="21" t="inlineStr"/>
      <c r="I31" s="20" t="inlineStr"/>
      <c r="J31" s="21" t="inlineStr"/>
      <c r="K31" s="21" t="inlineStr">
        <is>
          <t>Live › Zooming in and out</t>
        </is>
      </c>
    </row>
    <row r="32">
      <c r="A32" s="18" t="inlineStr">
        <is>
          <t>T2-LV-027</t>
        </is>
      </c>
      <c r="B32" s="19" t="inlineStr">
        <is>
          <t>Live — Roster</t>
        </is>
      </c>
      <c r="C32" s="19" t="inlineStr">
        <is>
          <t>Keyboard Shortcuts dialog lists the documented shortcuts</t>
        </is>
      </c>
      <c r="D32" s="19" t="inlineStr">
        <is>
          <t>1. Open the Keyboard Shortcuts dialog from the toolbar.
2. Read the grouped shortcut rows.
3. Test Ctrl+Q with flights selected.</t>
        </is>
      </c>
      <c r="E32" s="19" t="inlineStr">
        <is>
          <t>The dialog lists File Ctrl+S (Save all pending changes); Edit Ctrl+Z (Undo), Ctrl+Y (Redo), Del (Delete selected item), Esc (Clear selections / Close menu); Selection Click / Ctrl+Click; Pairing Ctrl+Q (Create Pairing from selected flights); View Ctrl++ / Ctrl+− (Zoom in/out). On macOS ⌘ replaces Ctrl; Redo also accepts Ctrl+Shift+Z and Delete also accepts Backspace.</t>
        </is>
      </c>
      <c r="F32" s="18" t="inlineStr">
        <is>
          <t>Low</t>
        </is>
      </c>
      <c r="G32" s="18" t="inlineStr">
        <is>
          <t>Not Tested</t>
        </is>
      </c>
      <c r="H32" s="19" t="inlineStr"/>
      <c r="I32" s="18" t="inlineStr"/>
      <c r="J32" s="19" t="inlineStr"/>
      <c r="K32" s="19" t="inlineStr">
        <is>
          <t>Live › Keyboard shortcuts</t>
        </is>
      </c>
    </row>
    <row r="33" ht="18" customHeight="1">
      <c r="A33" s="16" t="inlineStr">
        <is>
          <t>▸ Scenario</t>
        </is>
      </c>
      <c r="B33" s="17" t="n"/>
      <c r="C33" s="17" t="n"/>
      <c r="D33" s="17" t="n"/>
      <c r="E33" s="17" t="n"/>
      <c r="F33" s="17" t="n"/>
      <c r="G33" s="17" t="n"/>
      <c r="H33" s="17" t="n"/>
      <c r="I33" s="17" t="n"/>
      <c r="J33" s="17" t="n"/>
      <c r="K33" s="17" t="n"/>
    </row>
    <row r="34">
      <c r="A34" s="18" t="inlineStr">
        <is>
          <t>T2-SC-001</t>
        </is>
      </c>
      <c r="B34" s="19" t="inlineStr">
        <is>
          <t>Scenario</t>
        </is>
      </c>
      <c r="C34" s="19" t="inlineStr">
        <is>
          <t>Scenario status lifecycle icons render for each state</t>
        </is>
      </c>
      <c r="D34" s="19" t="inlineStr">
        <is>
          <t>1. Open the Scenario tab.
2. Inspect the status icon on scenario rows in the left list.
3. Confirm the icon-to-status mapping matches the documented lifecycle.</t>
        </is>
      </c>
      <c r="E34" s="19" t="inlineStr">
        <is>
          <t>Each status renders its documented icon: Pencil = Draft, spinning LoaderCircle = Running, CheckCircle2 = Done, AlertCircle = Failed, UploadCloud = Published. A sandbox scenario shows no effect on the live schedule until published.</t>
        </is>
      </c>
      <c r="F34" s="18" t="inlineStr">
        <is>
          <t>Medium</t>
        </is>
      </c>
      <c r="G34" s="18" t="inlineStr">
        <is>
          <t>Not Tested</t>
        </is>
      </c>
      <c r="H34" s="19" t="inlineStr"/>
      <c r="I34" s="18" t="inlineStr"/>
      <c r="J34" s="19" t="inlineStr"/>
      <c r="K34" s="19" t="inlineStr">
        <is>
          <t>Scenario › Overview</t>
        </is>
      </c>
    </row>
    <row r="35">
      <c r="A35" s="20" t="inlineStr">
        <is>
          <t>T2-SC-002</t>
        </is>
      </c>
      <c r="B35" s="21" t="inlineStr">
        <is>
          <t>Scenario</t>
        </is>
      </c>
      <c r="C35" s="21" t="inlineStr">
        <is>
          <t>Search and Type/Status dropdowns filter the scenario list</t>
        </is>
      </c>
      <c r="D35" s="21" t="inlineStr">
        <is>
          <t>1. Open the Scenario tab; confirm the left panel lists scenarios.
2. In the search bar (placeholder 'Search scenarios…'), type a known scenario ID or name and confirm the list narrows as you type.
3. Set the Type dropdown to 'RO' and confirm only RO scenarios remain.
4. Set the Status dropdown to 'Done' and confirm only Done scenarios remain.
5. Click a remaining row.</t>
        </is>
      </c>
      <c r="E35" s="21" t="inlineStr">
        <is>
          <t>The list live-filters by the typed text (ID/name/user); Type=RO shows only RO rows; Status=Done shows only Done rows; clicking a row opens that scenario's detail panel on the right.</t>
        </is>
      </c>
      <c r="F35" s="20" t="inlineStr">
        <is>
          <t>Medium</t>
        </is>
      </c>
      <c r="G35" s="20" t="inlineStr">
        <is>
          <t>Not Tested</t>
        </is>
      </c>
      <c r="H35" s="21" t="inlineStr"/>
      <c r="I35" s="20" t="inlineStr"/>
      <c r="J35" s="21" t="inlineStr"/>
      <c r="K35" s="21" t="inlineStr">
        <is>
          <t>Scenario › Browsing and searching scenarios</t>
        </is>
      </c>
    </row>
    <row r="36">
      <c r="A36" s="18" t="inlineStr">
        <is>
          <t>T2-SC-003</t>
        </is>
      </c>
      <c r="B36" s="19" t="inlineStr">
        <is>
          <t>Scenario</t>
        </is>
      </c>
      <c r="C36" s="19" t="inlineStr">
        <is>
          <t>Create a new Draft scenario from a sidebar section</t>
        </is>
      </c>
      <c r="D36" s="19" t="inlineStr">
        <is>
          <t>1. In the Scenario sidebar select the Roster section (for an RO scenario).
2. Click the + (Create new scenario) button at the top of the scenario list.
3. Confirm a new scenario is created immediately with Draft status and its detail panel opens on the right.
4. Verify the new scenario inherited the RO type of the section.</t>
        </is>
      </c>
      <c r="E36" s="19" t="inlineStr">
        <is>
          <t>A new scenario appears with Draft status (Pencil icon) and its editable detail panel opens on the right; the scenario type is RO, matching the Roster section it was created from.</t>
        </is>
      </c>
      <c r="F36" s="18" t="inlineStr">
        <is>
          <t>High</t>
        </is>
      </c>
      <c r="G36" s="18" t="inlineStr">
        <is>
          <t>Not Tested</t>
        </is>
      </c>
      <c r="H36" s="19" t="inlineStr"/>
      <c r="I36" s="18" t="inlineStr"/>
      <c r="J36" s="19" t="inlineStr"/>
      <c r="K36" s="19" t="inlineStr">
        <is>
          <t>Scenario › Creating a new scenario</t>
        </is>
      </c>
    </row>
    <row r="37">
      <c r="A37" s="20" t="inlineStr">
        <is>
          <t>T2-SC-004</t>
        </is>
      </c>
      <c r="B37" s="21" t="inlineStr">
        <is>
          <t>Scenario</t>
        </is>
      </c>
      <c r="C37" s="21" t="inlineStr">
        <is>
          <t>Set RP Date and required fields, then Save a Draft scenario</t>
        </is>
      </c>
      <c r="D37" s="21" t="inlineStr">
        <is>
          <t>1. Edit the Name field at the top of the detail panel to a descriptive value.
2. In Basic Info, choose a roster period with the RP Date selector.
3. Confirm the Start and End date inputs auto-fill from the selected period and are read-only.
4. Set Division, Rule Set, and Pairing Sc. (e.g. 0 - Live).
5. Click the Save icon (floppy disk) in the toolbar.</t>
        </is>
      </c>
      <c r="E37" s="21" t="inlineStr">
        <is>
          <t>Start/End populate read-only from the RP Date; after Save the icon shows a spinner then a success notification, and the scenario remains in Draft status. With no further edits the Save icon greys out with a 'Saved' tooltip.</t>
        </is>
      </c>
      <c r="F37" s="20" t="inlineStr">
        <is>
          <t>High</t>
        </is>
      </c>
      <c r="G37" s="20" t="inlineStr">
        <is>
          <t>Not Tested</t>
        </is>
      </c>
      <c r="H37" s="21" t="inlineStr"/>
      <c r="I37" s="20" t="inlineStr"/>
      <c r="J37" s="21" t="inlineStr"/>
      <c r="K37" s="21" t="inlineStr">
        <is>
          <t>Scenario › Creating a new scenario</t>
        </is>
      </c>
    </row>
    <row r="38">
      <c r="A38" s="18" t="inlineStr">
        <is>
          <t>T2-SC-005</t>
        </is>
      </c>
      <c r="B38" s="19" t="inlineStr">
        <is>
          <t>Scenario</t>
        </is>
      </c>
      <c r="C38" s="19" t="inlineStr">
        <is>
          <t>Duplicate a scenario into a Draft copy retaining configuration</t>
        </is>
      </c>
      <c r="D38" s="19" t="inlineStr">
        <is>
          <t>1. Hover the source scenario row and click the ⋯ menu button on the right.
2. Click Duplicate in the menu.
3. Confirm a new Draft named 'Copy of [original name]' is created and auto-selected with its detail panel open.
4. With the name field highlighted, type a new name and press Save (disk icon).</t>
        </is>
      </c>
      <c r="E38" s="19" t="inlineStr">
        <is>
          <t>A new Draft copy is created carrying the original type, date range, and type-specific config (Model, Rule Set, Pairing Scenario, Crew/Pairing scope filters) but no optimisation results or KPIs; the name field is auto-focused and the rename is saved.</t>
        </is>
      </c>
      <c r="F38" s="18" t="inlineStr">
        <is>
          <t>Medium</t>
        </is>
      </c>
      <c r="G38" s="18" t="inlineStr">
        <is>
          <t>Not Tested</t>
        </is>
      </c>
      <c r="H38" s="19" t="inlineStr"/>
      <c r="I38" s="18" t="inlineStr"/>
      <c r="J38" s="19" t="inlineStr"/>
      <c r="K38" s="19" t="inlineStr">
        <is>
          <t>Scenario › Duplicating a scenario</t>
        </is>
      </c>
    </row>
    <row r="39">
      <c r="A39" s="20" t="inlineStr">
        <is>
          <t>T2-SC-006</t>
        </is>
      </c>
      <c r="B39" s="21" t="inlineStr">
        <is>
          <t>Scenario</t>
        </is>
      </c>
      <c r="C39" s="21" t="inlineStr">
        <is>
          <t>Start a PBS material import with a roster period and material selection</t>
        </is>
      </c>
      <c r="D39" s="21" t="inlineStr">
        <is>
          <t>1. Click the Import PBS material button (Import icon) at the top of the scenario list panel.
2. In the Import PBS Material dialog, choose a Roster Period and confirm Start/End dates auto-fill read-only.
3. Tick at least one material type (Crew, Roster, RosterGround, Pairing, Flight).
4. Click Confirm.</t>
        </is>
      </c>
      <c r="E39" s="21" t="inlineStr">
        <is>
          <t>The import starts; the dialog shows overall progress (percent + elapsed time) and a per-material table with Fetch / Transform / Write stages showing Waiting/Running/Done/Failed status and timing.</t>
        </is>
      </c>
      <c r="F39" s="20" t="inlineStr">
        <is>
          <t>High</t>
        </is>
      </c>
      <c r="G39" s="20" t="inlineStr">
        <is>
          <t>Not Tested</t>
        </is>
      </c>
      <c r="H39" s="21" t="inlineStr"/>
      <c r="I39" s="20" t="inlineStr"/>
      <c r="J39" s="21" t="inlineStr"/>
      <c r="K39" s="21" t="inlineStr">
        <is>
          <t>Scenario › Importing PBS material</t>
        </is>
      </c>
    </row>
    <row r="40">
      <c r="A40" s="18" t="inlineStr">
        <is>
          <t>T2-SC-007</t>
        </is>
      </c>
      <c r="B40" s="19" t="inlineStr">
        <is>
          <t>Scenario</t>
        </is>
      </c>
      <c r="C40" s="19" t="inlineStr">
        <is>
          <t>Review PBS import result counts on completion</t>
        </is>
      </c>
      <c r="D40" s="19" t="inlineStr">
        <is>
          <t>1. Wait for the import to finish.
2. Review the result table for each selected material.
3. Check the completion toast.</t>
        </is>
      </c>
      <c r="E40" s="19" t="inlineStr">
        <is>
          <t>The result table shows each material's Status plus Add / Update / Delete / OK / Fail / Skip counts and Fetch / Trans / DB / Total timings; a success toast reports the imported connector count and elapsed time, or a warning lists how many materials failed if any did.</t>
        </is>
      </c>
      <c r="F40" s="18" t="inlineStr">
        <is>
          <t>High</t>
        </is>
      </c>
      <c r="G40" s="18" t="inlineStr">
        <is>
          <t>Not Tested</t>
        </is>
      </c>
      <c r="H40" s="19" t="inlineStr"/>
      <c r="I40" s="18" t="inlineStr"/>
      <c r="J40" s="19" t="inlineStr"/>
      <c r="K40" s="19" t="inlineStr">
        <is>
          <t>Scenario › Importing PBS material</t>
        </is>
      </c>
    </row>
    <row r="41">
      <c r="A41" s="20" t="inlineStr">
        <is>
          <t>T2-SC-008</t>
        </is>
      </c>
      <c r="B41" s="21" t="inlineStr">
        <is>
          <t>Scenario</t>
        </is>
      </c>
      <c r="C41" s="21" t="inlineStr">
        <is>
          <t>Set PO Flight Filters scope on a PO scenario</t>
        </is>
      </c>
      <c r="D41" s="21" t="inlineStr">
        <is>
          <t>1. Open the scenario's Scope Filters section and expand the Flight Filters group.
2. Add a flight number chip in Flight Nos (type a value, press Enter).
3. Add Dep Airports and/or Arr Airports and Fleets chips.
4. Set the Flight Status dropdown (Scheduled / Actual / All).
5. Click Save.</t>
        </is>
      </c>
      <c r="E41" s="21" t="inlineStr">
        <is>
          <t>Entered values appear as chips; the number badge on the Flight Filters header reflects the count of active filters; the Flight Status selection is applied; changes are saved. Empty fields mean 'include everything'.</t>
        </is>
      </c>
      <c r="F41" s="20" t="inlineStr">
        <is>
          <t>Medium</t>
        </is>
      </c>
      <c r="G41" s="20" t="inlineStr">
        <is>
          <t>Not Tested</t>
        </is>
      </c>
      <c r="H41" s="21" t="inlineStr"/>
      <c r="I41" s="20" t="inlineStr"/>
      <c r="J41" s="21" t="inlineStr"/>
      <c r="K41" s="21" t="inlineStr">
        <is>
          <t>Scenario › Setting scope filters</t>
        </is>
      </c>
    </row>
    <row r="42">
      <c r="A42" s="18" t="inlineStr">
        <is>
          <t>T2-SC-009</t>
        </is>
      </c>
      <c r="B42" s="19" t="inlineStr">
        <is>
          <t>Scenario</t>
        </is>
      </c>
      <c r="C42" s="19" t="inlineStr">
        <is>
          <t>Set RO Crew and Pairing scope filters with live FILTER summaries</t>
        </is>
      </c>
      <c r="D42" s="19" t="inlineStr">
        <is>
          <t>1. Open Scope Filters and expand the Crew Filters group.
2. Select Bases, Ranks, Fleets from their dropdowns and set a Seniority Min/Max range.
3. Expand the Pairing Filters group and select Bases, Ranks, Fleets, Type and a Duration (days) Min/Max range.
4. Observe the grey FILTER summary line under each group.
5. Click Save.</t>
        </is>
      </c>
      <c r="E42" s="19" t="inlineStr">
        <is>
          <t>Each group's number badge counts active filters; the FILTER line summarises Crew as bases/ranks/fleets/seniority/birthday and Pairing as bases/ranks/fleets/types/duration, with an asterisk (*) meaning no restriction; selections come from reference-table dropdowns and are saved.</t>
        </is>
      </c>
      <c r="F42" s="18" t="inlineStr">
        <is>
          <t>Medium</t>
        </is>
      </c>
      <c r="G42" s="18" t="inlineStr">
        <is>
          <t>Not Tested</t>
        </is>
      </c>
      <c r="H42" s="19" t="inlineStr"/>
      <c r="I42" s="18" t="inlineStr"/>
      <c r="J42" s="19" t="inlineStr"/>
      <c r="K42" s="19" t="inlineStr">
        <is>
          <t>Scenario › Setting scope filters</t>
        </is>
      </c>
    </row>
    <row r="43">
      <c r="A43" s="20" t="inlineStr">
        <is>
          <t>T2-SC-010</t>
        </is>
      </c>
      <c r="B43" s="21" t="inlineStr">
        <is>
          <t>Scenario</t>
        </is>
      </c>
      <c r="C43" s="21" t="inlineStr">
        <is>
          <t>Pre-run check blocks an optimisation with missing required fields</t>
        </is>
      </c>
      <c r="D43" s="21" t="inlineStr">
        <is>
          <t>1. Open the scenario with an incomplete required field.
2. Click the Play icon (Kick off run) in the scenario toolbar.
3. Review the Pre-run Check dialog.</t>
        </is>
      </c>
      <c r="E43" s="21" t="inlineStr">
        <is>
          <t>A Pre-run Check dialog opens listing the missing item(s) under 'Must fix before running' in red; the optimisation does not start. With warnings only (no blockers) a 'Proceed Anyway' button is offered instead.</t>
        </is>
      </c>
      <c r="F43" s="20" t="inlineStr">
        <is>
          <t>High</t>
        </is>
      </c>
      <c r="G43" s="20" t="inlineStr">
        <is>
          <t>Not Tested</t>
        </is>
      </c>
      <c r="H43" s="21" t="inlineStr"/>
      <c r="I43" s="20" t="inlineStr"/>
      <c r="J43" s="21" t="inlineStr"/>
      <c r="K43" s="21" t="inlineStr">
        <is>
          <t>Scenario › Running an optimisation</t>
        </is>
      </c>
    </row>
    <row r="44">
      <c r="A44" s="18" t="inlineStr">
        <is>
          <t>T2-SC-011</t>
        </is>
      </c>
      <c r="B44" s="19" t="inlineStr">
        <is>
          <t>Scenario</t>
        </is>
      </c>
      <c r="C44" s="19" t="inlineStr">
        <is>
          <t>Save and run an optimisation to completion</t>
        </is>
      </c>
      <c r="D44" s="19" t="inlineStr">
        <is>
          <t>1. Click the Play icon (Kick off run).
2. In the Unsaved changes dialog, choose Save &amp; Run.
3. Confirm the 'Optimization started successfully' notification and that the toolbar button switches to the amber Stop icon.
4. Confirm the list status icon becomes a spinning Running icon and the detail badge reads Running.
5. Wait for the engine to finish.</t>
        </is>
      </c>
      <c r="E44" s="19" t="inlineStr">
        <is>
          <t>The run starts only after saving; while running the button shows the amber Stop icon and status is Running; on completion a success/failure notification appears and the status badge changes to Done (green CheckCircle2, results appear) or Failed (red AlertCircle).</t>
        </is>
      </c>
      <c r="F44" s="18" t="inlineStr">
        <is>
          <t>High</t>
        </is>
      </c>
      <c r="G44" s="18" t="inlineStr">
        <is>
          <t>Not Tested</t>
        </is>
      </c>
      <c r="H44" s="19" t="inlineStr"/>
      <c r="I44" s="18" t="inlineStr"/>
      <c r="J44" s="19" t="inlineStr"/>
      <c r="K44" s="19" t="inlineStr">
        <is>
          <t>Scenario › Running an optimisation</t>
        </is>
      </c>
    </row>
    <row r="45">
      <c r="A45" s="20" t="inlineStr">
        <is>
          <t>T2-SC-012</t>
        </is>
      </c>
      <c r="B45" s="21" t="inlineStr">
        <is>
          <t>Scenario</t>
        </is>
      </c>
      <c r="C45" s="21" t="inlineStr">
        <is>
          <t>KPI, Credit Hours, and Uncovered result tabs show optimisation output</t>
        </is>
      </c>
      <c r="D45" s="21" t="inlineStr">
        <is>
          <t>1. Open the Done scenario's detail panel and confirm the six-tab rail: KPI, Credit Hours, Uncovered, Distribution, Versions, Notes.
2. On the KPI tab, confirm one card per key metric (name, optimised value, description).
3. Open Credit Hours and confirm the per-crew table lists Crew Id, Base, Rank, Credited Hours, Credit Min/Max and related columns; use the search box and CSV export.
4. Open Uncovered and confirm the 'Uncovered Pairings &amp; Reserves' table with row count.</t>
        </is>
      </c>
      <c r="E45" s="21" t="inlineStr">
        <is>
          <t>KPI shows one card per metric; Credit Hours lists per-crew credited hours with filter and CSV export; Uncovered lists unassigned pairing-complement rows (Pairing then Reserve) with a header row count, and is empty when everything is covered.</t>
        </is>
      </c>
      <c r="F45" s="20" t="inlineStr">
        <is>
          <t>High</t>
        </is>
      </c>
      <c r="G45" s="20" t="inlineStr">
        <is>
          <t>Not Tested</t>
        </is>
      </c>
      <c r="H45" s="21" t="inlineStr"/>
      <c r="I45" s="20" t="inlineStr"/>
      <c r="J45" s="21" t="inlineStr"/>
      <c r="K45" s="21" t="inlineStr">
        <is>
          <t>Scenario › Reading your optimisation results</t>
        </is>
      </c>
    </row>
    <row r="46">
      <c r="A46" s="18" t="inlineStr">
        <is>
          <t>T2-SC-013</t>
        </is>
      </c>
      <c r="B46" s="19" t="inlineStr">
        <is>
          <t>Scenario</t>
        </is>
      </c>
      <c r="C46" s="19" t="inlineStr">
        <is>
          <t>Distribution charts/table and Versions/Notes tabs behave correctly</t>
        </is>
      </c>
      <c r="D46" s="19" t="inlineStr">
        <is>
          <t>1. Open the Distribution tab; toggle the Both / Pairing / Reserve type filter and the Chart / Table view.
2. Confirm the summary tiles (Assigned slots, Uncovered slots, Peak day load, Crew utilization) and the two linked charts.
3. Switch to Table view and confirm the Daily Distribution rows and Σ slot-days totals row.
4. Open the Versions tab and confirm archived versions with a Current badge and Open Gantt / Differences / delete actions.
5. Open Notes and post a question; confirm the Q label, byline, and 'unanswered' marker.</t>
        </is>
      </c>
      <c r="E46" s="19" t="inlineStr">
        <is>
          <t>Distribution filters/toggles apply and tiles/charts/table render (weekend bands, legend colours, totals row); Versions lists archived runs with a Current badge and working Open Gantt / Differences / Delete actions; a posted Note shows a Q label, date-time byline and 'unanswered', and the open-questions badge counts it.</t>
        </is>
      </c>
      <c r="F46" s="18" t="inlineStr">
        <is>
          <t>High</t>
        </is>
      </c>
      <c r="G46" s="18" t="inlineStr">
        <is>
          <t>Not Tested</t>
        </is>
      </c>
      <c r="H46" s="19" t="inlineStr"/>
      <c r="I46" s="18" t="inlineStr"/>
      <c r="J46" s="19" t="inlineStr"/>
      <c r="K46" s="19" t="inlineStr">
        <is>
          <t>Scenario › Reading your optimisation results</t>
        </is>
      </c>
    </row>
    <row r="47">
      <c r="A47" s="20" t="inlineStr">
        <is>
          <t>T2-SC-014</t>
        </is>
      </c>
      <c r="B47" s="21" t="inlineStr">
        <is>
          <t>Scenario</t>
        </is>
      </c>
      <c r="C47" s="21" t="inlineStr">
        <is>
          <t>Open the Quality Analyzer and review QLTY findings per crew</t>
        </is>
      </c>
      <c r="D47" s="21" t="inlineStr">
        <is>
          <t>1. In the Scenario Roster pane toolbar, click the Gauge icon (Quality Analyzer).
2. Confirm the Roster Quality Analyzer opens in a master–detail layout grouped by quality rule with 'Issues only' ticked by default.
3. Select each QLTY rule in the left nav (Qlty-1001 Standalone RES, Qlty-1002 Working &gt;6d, Qlty-1003 Day-off only, Qlty-1004 Max working days) and review its crew table.
4. Confirm each crew row shows Crew ID, Base/Rank, and Awarded credit (Before opt / After opt).</t>
        </is>
      </c>
      <c r="E47" s="21" t="inlineStr">
        <is>
          <t>The Gauge button is present only in the Scenario roster pane (not Live); the analyzer opens grouped by QLTY rule with affected-crew counts; each rule's table shows Crew ID, Base/Rank, Awarded credit (Before/After opt) and the finding detail; 'Issues only' limits the nav to rules with open findings.</t>
        </is>
      </c>
      <c r="F47" s="20" t="inlineStr">
        <is>
          <t>High</t>
        </is>
      </c>
      <c r="G47" s="20" t="inlineStr">
        <is>
          <t>Not Tested</t>
        </is>
      </c>
      <c r="H47" s="21" t="inlineStr"/>
      <c r="I47" s="20" t="inlineStr"/>
      <c r="J47" s="21" t="inlineStr"/>
      <c r="K47" s="21" t="inlineStr">
        <is>
          <t>Scenario › Checking roster quality (Quality Analyzer)</t>
        </is>
      </c>
    </row>
    <row r="48">
      <c r="A48" s="18" t="inlineStr">
        <is>
          <t>T2-SC-015</t>
        </is>
      </c>
      <c r="B48" s="19" t="inlineStr">
        <is>
          <t>Scenario</t>
        </is>
      </c>
      <c r="C48" s="19" t="inlineStr">
        <is>
          <t>Adjust Quality Analyzer parameters and jump to a crew</t>
        </is>
      </c>
      <c r="D48" s="19" t="inlineStr">
        <is>
          <t>1. Click a Crew ID link in a rule's crew table and confirm that crew is brought to the top of the roster while the dialog stays open.
2. Click Parameters to open the Parameter Configuration tab.
3. Adjust Min consecutive RES days, Max consecutive working days, Max working days in period, Non-working assignment codes, and Applicable divisions.
4. Click Save &amp; Re-analyze.</t>
        </is>
      </c>
      <c r="E48" s="19" t="inlineStr">
        <is>
          <t>Clicking a Crew ID scrolls that crew to the top row with the dialog still open; Save &amp; Re-analyze applies the session-only thresholds and re-runs the analysis, returning to the Quality Analyzer tab with updated findings; Cancel returns without changes.</t>
        </is>
      </c>
      <c r="F48" s="18" t="inlineStr">
        <is>
          <t>High</t>
        </is>
      </c>
      <c r="G48" s="18" t="inlineStr">
        <is>
          <t>Not Tested</t>
        </is>
      </c>
      <c r="H48" s="19" t="inlineStr"/>
      <c r="I48" s="18" t="inlineStr"/>
      <c r="J48" s="19" t="inlineStr"/>
      <c r="K48" s="19" t="inlineStr">
        <is>
          <t>Scenario › Checking roster quality (Quality Analyzer)</t>
        </is>
      </c>
    </row>
    <row r="49">
      <c r="A49" s="20" t="inlineStr">
        <is>
          <t>T2-SC-016</t>
        </is>
      </c>
      <c r="B49" s="21" t="inlineStr">
        <is>
          <t>Scenario</t>
        </is>
      </c>
      <c r="C49" s="21" t="inlineStr">
        <is>
          <t>Open the Import to Live dialog and select assignments</t>
        </is>
      </c>
      <c r="D49" s="21" t="inlineStr">
        <is>
          <t>1. Click the UploadCloud icon (tooltip 'Import to Live Roster') in the scenario toolbar.
2. In the 'Import Optimized Roster to Live' dialog confirm the assignment table loads with columns Crew ID, Kind, Pairing ID, Pairing Label, Source, Base, Div, Asgmt Group, Assignment, Start (UTC), End (UTC), Status.
3. Enter a Base and/or Crew ID filter and click Search; confirm the row count shows filtered / total.
4. Click Select Unpublished (or the header checkbox) to select all visible pending rows.</t>
        </is>
      </c>
      <c r="E49" s="21" t="inlineStr">
        <is>
          <t>The UploadCloud icon is enabled only in Done/Published status; the dialog loads the virtualized assignment table with all listed columns; Search applies filters and updates the filtered/total count without changing selection; Select Unpublished selects all visible importable rows while Imported (greyed) rows stay unselectable.</t>
        </is>
      </c>
      <c r="F49" s="20" t="inlineStr">
        <is>
          <t>High</t>
        </is>
      </c>
      <c r="G49" s="20" t="inlineStr">
        <is>
          <t>Not Tested</t>
        </is>
      </c>
      <c r="H49" s="21" t="inlineStr"/>
      <c r="I49" s="20" t="inlineStr"/>
      <c r="J49" s="21" t="inlineStr"/>
      <c r="K49" s="21" t="inlineStr">
        <is>
          <t>Scenario › Importing a roster to Live</t>
        </is>
      </c>
    </row>
    <row r="50">
      <c r="A50" s="18" t="inlineStr">
        <is>
          <t>T2-SC-017</t>
        </is>
      </c>
      <c r="B50" s="19" t="inlineStr">
        <is>
          <t>Scenario</t>
        </is>
      </c>
      <c r="C50" s="19" t="inlineStr">
        <is>
          <t>Import selected assignments and transition scenario to Published</t>
        </is>
      </c>
      <c r="D50" s="19" t="inlineStr">
        <is>
          <t>1. Click Import N Selected.
2. Watch the progress bar step from 'Preparing selected rows' to 'Writing to Live roster' with elapsed time.
3. Confirm the completion state 'Imported: N' with elapsed time.
4. Close the dialog and inspect the scenario status.</t>
        </is>
      </c>
      <c r="E50" s="19" t="inlineStr">
        <is>
          <t>Only the explicitly selected rows are written to the Live roster; on completion the dialog shows 'Imported: N'; the scenario status changes to Published (amber UploadCloud in the list, amber Published badge in the detail panel); reopening the dialog shows those rows greyed out/disabled while any un-imported rows remain selectable.</t>
        </is>
      </c>
      <c r="F50" s="18" t="inlineStr">
        <is>
          <t>High</t>
        </is>
      </c>
      <c r="G50" s="18" t="inlineStr">
        <is>
          <t>Not Tested</t>
        </is>
      </c>
      <c r="H50" s="19" t="inlineStr"/>
      <c r="I50" s="18" t="inlineStr"/>
      <c r="J50" s="19" t="inlineStr"/>
      <c r="K50" s="19" t="inlineStr">
        <is>
          <t>Scenario › Importing a roster to Live</t>
        </is>
      </c>
    </row>
    <row r="51">
      <c r="A51" s="20" t="inlineStr">
        <is>
          <t>T2-SC-018</t>
        </is>
      </c>
      <c r="B51" s="21" t="inlineStr">
        <is>
          <t>Scenario</t>
        </is>
      </c>
      <c r="C51" s="21" t="inlineStr">
        <is>
          <t>Delete a scenario with confirmation</t>
        </is>
      </c>
      <c r="D51" s="21" t="inlineStr">
        <is>
          <t>1. Hover the target scenario row and click the ⋯ menu button.
2. Click Delete (trash icon) in the menu.
3. In the confirmation dialog, click Delete again to confirm.</t>
        </is>
      </c>
      <c r="E51" s="21" t="inlineStr">
        <is>
          <t>A confirmation dialog appears; after confirming, the scenario is permanently removed from the list along with all its settings, filters, and KPI results (the action cannot be undone).</t>
        </is>
      </c>
      <c r="F51" s="20" t="inlineStr">
        <is>
          <t>High</t>
        </is>
      </c>
      <c r="G51" s="20" t="inlineStr">
        <is>
          <t>Not Tested</t>
        </is>
      </c>
      <c r="H51" s="21" t="inlineStr"/>
      <c r="I51" s="20" t="inlineStr"/>
      <c r="J51" s="21" t="inlineStr"/>
      <c r="K51" s="21" t="inlineStr">
        <is>
          <t>Scenario › Deleting a scenario</t>
        </is>
      </c>
    </row>
    <row r="52" ht="18" customHeight="1">
      <c r="A52" s="16" t="inlineStr">
        <is>
          <t>▸ Settings</t>
        </is>
      </c>
      <c r="B52" s="17" t="n"/>
      <c r="C52" s="17" t="n"/>
      <c r="D52" s="17" t="n"/>
      <c r="E52" s="17" t="n"/>
      <c r="F52" s="17" t="n"/>
      <c r="G52" s="17" t="n"/>
      <c r="H52" s="17" t="n"/>
      <c r="I52" s="17" t="n"/>
      <c r="J52" s="17" t="n"/>
      <c r="K52" s="17" t="n"/>
    </row>
    <row r="53">
      <c r="A53" s="20" t="inlineStr">
        <is>
          <t>T2-SC-019</t>
        </is>
      </c>
      <c r="B53" s="21" t="inlineStr">
        <is>
          <t>Settings</t>
        </is>
      </c>
      <c r="C53" s="21" t="inlineStr">
        <is>
          <t>Switch colour theme from the palette dropdown</t>
        </is>
      </c>
      <c r="D53" s="21" t="inlineStr">
        <is>
          <t>1. Click the palette icon in the top-right corner of the navigation bar.
2. Confirm the dropdown lists the themes (Ocean Blue, Dark Pro, Emerald Green, Sunset Orange, Slate Gray) and shows the running version line (Ver:B…/F…/R…) at the top.
3. Click a theme other than the current one.</t>
        </is>
      </c>
      <c r="E53" s="21" t="inlineStr">
        <is>
          <t>The app colour scheme updates instantly without a page reload; a checkmark marks the newly selected theme; the version line at the top is informational only and does not change the applied theme.</t>
        </is>
      </c>
      <c r="F53" s="20" t="inlineStr">
        <is>
          <t>Low</t>
        </is>
      </c>
      <c r="G53" s="20" t="inlineStr">
        <is>
          <t>Not Tested</t>
        </is>
      </c>
      <c r="H53" s="21" t="inlineStr"/>
      <c r="I53" s="20" t="inlineStr"/>
      <c r="J53" s="21" t="inlineStr"/>
      <c r="K53" s="21" t="inlineStr">
        <is>
          <t>Settings &amp; Personalization › Changing the theme</t>
        </is>
      </c>
    </row>
    <row r="54">
      <c r="A54" s="18" t="inlineStr">
        <is>
          <t>T2-SC-020</t>
        </is>
      </c>
      <c r="B54" s="19" t="inlineStr">
        <is>
          <t>Settings</t>
        </is>
      </c>
      <c r="C54" s="19" t="inlineStr">
        <is>
          <t>Toggle dark/light mode independently of theme</t>
        </is>
      </c>
      <c r="D54" s="19" t="inlineStr">
        <is>
          <t>1. Click the palette icon in the top-right corner to open the theme dropdown.
2. Click the Dark Mode / Light Mode toggle at the bottom of the dropdown.
3. Observe the app rendering and the toggle label.
4. Switch to the Dark Pro theme and observe the toggle behaviour.</t>
        </is>
      </c>
      <c r="E54" s="19" t="inlineStr">
        <is>
          <t>The app switches between dark and light rendering immediately and the label flips between Dark Mode/Light Mode; the choice is saved automatically; when Dark Pro is selected it always renders dark and the toggle has no effect.</t>
        </is>
      </c>
      <c r="F54" s="18" t="inlineStr">
        <is>
          <t>Low</t>
        </is>
      </c>
      <c r="G54" s="18" t="inlineStr">
        <is>
          <t>Not Tested</t>
        </is>
      </c>
      <c r="H54" s="19" t="inlineStr"/>
      <c r="I54" s="18" t="inlineStr"/>
      <c r="J54" s="19" t="inlineStr"/>
      <c r="K54" s="19" t="inlineStr">
        <is>
          <t>Settings &amp; Personalization › Switching dark / light mode</t>
        </is>
      </c>
    </row>
    <row r="55">
      <c r="A55" s="20" t="inlineStr">
        <is>
          <t>T2-SC-021</t>
        </is>
      </c>
      <c r="B55" s="21" t="inlineStr">
        <is>
          <t>Settings</t>
        </is>
      </c>
      <c r="C55" s="21" t="inlineStr">
        <is>
          <t>Sign out returns to the login screen</t>
        </is>
      </c>
      <c r="D55" s="21" t="inlineStr">
        <is>
          <t>1. Hover the sign-out (door) icon in the top-right corner and confirm the 'Sign Out' tooltip.
2. Click the sign-out icon.</t>
        </is>
      </c>
      <c r="E55" s="21" t="inlineStr">
        <is>
          <t>The session ends immediately and the app redirects to the login screen; any unsaved Live changes would be lost (documented behaviour). Separately, after 60 minutes of inactivity a Session Timeout dialog with a 3-minute countdown appears and signs the user out if ignored.</t>
        </is>
      </c>
      <c r="F55" s="20" t="inlineStr">
        <is>
          <t>Low</t>
        </is>
      </c>
      <c r="G55" s="20" t="inlineStr">
        <is>
          <t>Not Tested</t>
        </is>
      </c>
      <c r="H55" s="21" t="inlineStr"/>
      <c r="I55" s="20" t="inlineStr"/>
      <c r="J55" s="21" t="inlineStr"/>
      <c r="K55" s="21" t="inlineStr">
        <is>
          <t>Settings &amp; Personalization › Signing out</t>
        </is>
      </c>
    </row>
    <row r="56" ht="18" customHeight="1">
      <c r="A56" s="16" t="inlineStr">
        <is>
          <t>▸ Regression</t>
        </is>
      </c>
      <c r="B56" s="17" t="n"/>
      <c r="C56" s="17" t="n"/>
      <c r="D56" s="17" t="n"/>
      <c r="E56" s="17" t="n"/>
      <c r="F56" s="17" t="n"/>
      <c r="G56" s="17" t="n"/>
      <c r="H56" s="17" t="n"/>
      <c r="I56" s="17" t="n"/>
      <c r="J56" s="17" t="n"/>
      <c r="K56" s="17" t="n"/>
    </row>
    <row r="57">
      <c r="A57" s="20" t="inlineStr">
        <is>
          <t>T2-SC-022</t>
        </is>
      </c>
      <c r="B57" s="21" t="inlineStr">
        <is>
          <t>Regression</t>
        </is>
      </c>
      <c r="C57" s="21" t="inlineStr">
        <is>
          <t>Create, generate, and run a plain-English regression test</t>
        </is>
      </c>
      <c r="D57" s="21" t="inlineStr">
        <is>
          <t>1. Open the Regression tab; if the backend is unavailable confirm the 'Regression backend not available in this environment' message instead.
2. Click Add Test, enter a plain-English story, pick a category and priority, and save.
3. Click the wand button on the test row to generate Playwright code; if red issue chips appear, click Regenerate with fixes until gone, then Apply.
4. Click the category Run button (or Run All) and watch the bottom status bar progress.
5. Expand the row chevron to review Test story, Pass conditions, run outcome, and the evidence snapshot; on a failed round click Diagnose.</t>
        </is>
      </c>
      <c r="E57" s="21" t="inlineStr">
        <is>
          <t>The test is added and appears in the catalog; the wand generates Playwright code and blocks Apply until issue chips are cleared; running updates the status bar and records the result with a stability badge (Nx stable or N% fail) and an evidence snapshot; Diagnose returns an AI root-cause classification (code bug, data gap, environment issue, or test bug).</t>
        </is>
      </c>
      <c r="F57" s="20" t="inlineStr">
        <is>
          <t>Medium</t>
        </is>
      </c>
      <c r="G57" s="20" t="inlineStr">
        <is>
          <t>Not Tested</t>
        </is>
      </c>
      <c r="H57" s="21" t="inlineStr"/>
      <c r="I57" s="20" t="inlineStr"/>
      <c r="J57" s="21" t="inlineStr"/>
      <c r="K57" s="21" t="inlineStr">
        <is>
          <t>Regression Playground › Overview &amp; how to use</t>
        </is>
      </c>
    </row>
  </sheetData>
  <mergeCells count="6">
    <mergeCell ref="A2:K2"/>
    <mergeCell ref="A33:K33"/>
    <mergeCell ref="A52:K52"/>
    <mergeCell ref="A5:K5"/>
    <mergeCell ref="A1:K1"/>
    <mergeCell ref="A56:K56"/>
  </mergeCells>
  <dataValidations count="2">
    <dataValidation sqref="G5:G57" showDropDown="0" showInputMessage="0" showErrorMessage="0" allowBlank="0" type="list">
      <formula1>"Pass,Fail,Blocked,Not Tested"</formula1>
    </dataValidation>
    <dataValidation sqref="F5:F57"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4" customWidth="1" min="3" max="3"/>
    <col width="60" customWidth="1" min="4" max="4"/>
    <col width="48" customWidth="1" min="5" max="5"/>
    <col width="10" customWidth="1" min="6" max="6"/>
    <col width="13" customWidth="1" min="7" max="7"/>
    <col width="14" customWidth="1" min="8" max="8"/>
    <col width="13" customWidth="1" min="9" max="9"/>
    <col width="30" customWidth="1" min="10" max="10"/>
    <col width="28" customWidth="1" min="11" max="11"/>
  </cols>
  <sheetData>
    <row r="1" ht="30" customHeight="1">
      <c r="A1" s="15" t="inlineStr">
        <is>
          <t>T3 — Legality  (Rule Checks)</t>
        </is>
      </c>
    </row>
    <row r="2" ht="18" customHeight="1">
      <c r="A2" s="2" t="inlineStr">
        <is>
          <t>UAT Round 1   •   F8 (Flair) PBS   •   Reference: online help › Legality   •   crew-f8-usva-sit.roiscloud.com/altair/legality</t>
        </is>
      </c>
    </row>
    <row r="3" ht="6" customHeight="1"/>
    <row r="4" ht="26" customHeight="1">
      <c r="A4" s="3" t="inlineStr">
        <is>
          <t>Test ID</t>
        </is>
      </c>
      <c r="B4" s="3" t="inlineStr">
        <is>
          <t>Feature</t>
        </is>
      </c>
      <c r="C4" s="3" t="inlineStr">
        <is>
          <t>What to Test</t>
        </is>
      </c>
      <c r="D4" s="3" t="inlineStr">
        <is>
          <t>How to Test (Steps)</t>
        </is>
      </c>
      <c r="E4" s="3" t="inlineStr">
        <is>
          <t>Expected Result</t>
        </is>
      </c>
      <c r="F4" s="3" t="inlineStr">
        <is>
          <t>Priority</t>
        </is>
      </c>
      <c r="G4" s="3" t="inlineStr">
        <is>
          <t>Result</t>
        </is>
      </c>
      <c r="H4" s="3" t="inlineStr">
        <is>
          <t>Tester</t>
        </is>
      </c>
      <c r="I4" s="3" t="inlineStr">
        <is>
          <t>Date Tested</t>
        </is>
      </c>
      <c r="J4" s="3" t="inlineStr">
        <is>
          <t>Comments / Screenshot</t>
        </is>
      </c>
      <c r="K4" s="3" t="inlineStr">
        <is>
          <t>Help Reference</t>
        </is>
      </c>
    </row>
    <row r="5" ht="18" customHeight="1">
      <c r="A5" s="16" t="inlineStr">
        <is>
          <t>▸ Legality — Admin</t>
        </is>
      </c>
      <c r="B5" s="17" t="n"/>
      <c r="C5" s="17" t="n"/>
      <c r="D5" s="17" t="n"/>
      <c r="E5" s="17" t="n"/>
      <c r="F5" s="17" t="n"/>
      <c r="G5" s="17" t="n"/>
      <c r="H5" s="17" t="n"/>
      <c r="I5" s="17" t="n"/>
      <c r="J5" s="17" t="n"/>
      <c r="K5" s="17" t="n"/>
    </row>
    <row r="6">
      <c r="A6" s="18" t="inlineStr">
        <is>
          <t>T3-LG-001</t>
        </is>
      </c>
      <c r="B6" s="19" t="inlineStr">
        <is>
          <t>Legality — Admin</t>
        </is>
      </c>
      <c r="C6" s="19" t="inlineStr">
        <is>
          <t>View violations against the active rule set in the Alert Center</t>
        </is>
      </c>
      <c r="D6" s="19" t="inlineStr">
        <is>
          <t>1. Open the Live roster gantt with the F8 Full Ruleset enabled.
2. Confirm a warning bell marks the offending duty on the gantt.
3. Click the Alert Center bell button at the top-right of the roster pane (shows a violation count badge).
4. Read the list — one row per crew, rule and message; confirm each message begins with the triggering parameter row (e.g. 'Row 2:').
5. Type a crew ID / rank / base into the search bar and confirm the group counts and table filter immediately.
6. Switch the grouping to Rule (then Severity / Base / Rank) and confirm rows regroup.
7. Click a violation row and confirm that crew is brought to the top of the Roster pane.</t>
        </is>
      </c>
      <c r="E6" s="19" t="inlineStr">
        <is>
          <t>Alert Center opens listing every violation for the loaded crew set; each row names the crew, the rule (e.g. 8002 Maximum Flight Time) and a message prefixed with the parameter Row number. Severity is colour-coded (red hard / amber overridable / yellow soft). Search and grouping update the list live; clicking a row scrolls that crew to the top.</t>
        </is>
      </c>
      <c r="F6" s="18" t="inlineStr">
        <is>
          <t>Medium</t>
        </is>
      </c>
      <c r="G6" s="18" t="inlineStr">
        <is>
          <t>Not Tested</t>
        </is>
      </c>
      <c r="H6" s="19" t="inlineStr"/>
      <c r="I6" s="18" t="inlineStr"/>
      <c r="J6" s="19" t="inlineStr"/>
      <c r="K6" s="19" t="inlineStr">
        <is>
          <t>Legality › Overview</t>
        </is>
      </c>
    </row>
    <row r="7">
      <c r="A7" s="20" t="inlineStr">
        <is>
          <t>T3-LG-002</t>
        </is>
      </c>
      <c r="B7" s="21" t="inlineStr">
        <is>
          <t>Legality — Admin</t>
        </is>
      </c>
      <c r="C7" s="21" t="inlineStr">
        <is>
          <t>Create and enable a LIVE rule set and trigger a background recheck</t>
        </is>
      </c>
      <c r="D7" s="21" t="inlineStr">
        <is>
          <t>1. In the Rule Sets header click the + (New) button.
2. In the New Rule Set dialog enter a Name, choose Division Pilot (P), and toggle at least the LIVE Rule Type on.
3. Tick 'Enable this rule set' and confirm the warning about clearing old legality alerts / starting a background recheck.
4. Save and confirm the new card appears in the sidebar with a blue LIVE badge, a P division badge, Enabled state, last-editor and rule count.
5. Confirm the previously enabled LIVE/P set is now Disabled (dimmed).
6. Use 'Add Rules' to add one catalog rule and confirm the set's rule count increments.</t>
        </is>
      </c>
      <c r="E7" s="21" t="inlineStr">
        <is>
          <t>The new set is created with the chosen name/division/type, becomes the active (highlighted) Enabled set for LIVE/P, the prior LIVE/P set is disabled, old legality alerts clear, and the affected roster period is re-checked in the background. Non-admins would see these controls hidden.</t>
        </is>
      </c>
      <c r="F7" s="20" t="inlineStr">
        <is>
          <t>Medium</t>
        </is>
      </c>
      <c r="G7" s="20" t="inlineStr">
        <is>
          <t>Not Tested</t>
        </is>
      </c>
      <c r="H7" s="21" t="inlineStr"/>
      <c r="I7" s="20" t="inlineStr"/>
      <c r="J7" s="21" t="inlineStr"/>
      <c r="K7" s="21" t="inlineStr">
        <is>
          <t>Legality › Managing Rule Sets</t>
        </is>
      </c>
    </row>
    <row r="8">
      <c r="A8" s="18" t="inlineStr">
        <is>
          <t>T3-LG-003</t>
        </is>
      </c>
      <c r="B8" s="19" t="inlineStr">
        <is>
          <t>Legality — Admin</t>
        </is>
      </c>
      <c r="C8" s="19" t="inlineStr">
        <is>
          <t>Coverage warning flags a division + type with no enabled set</t>
        </is>
      </c>
      <c r="D8" s="19" t="inlineStr">
        <is>
          <t>1. Disable every enabled set for one combination, e.g. all PBS sets for division Cabin (C).
2. Observe the Rule Sets header.
3. Hover the amber warning triangle that appears.
4. Re-enable a PBS/C set and confirm the warning clears.</t>
        </is>
      </c>
      <c r="E8" s="19" t="inlineStr">
        <is>
          <t>An amber warning triangle appears in the Rule Sets header while a LIVE/PBS division+type combination has no enabled set; hovering it lists the missing combination(s) (e.g. 'PBS/C'). Enabling a set for that combination removes the warning.</t>
        </is>
      </c>
      <c r="F8" s="18" t="inlineStr">
        <is>
          <t>Medium</t>
        </is>
      </c>
      <c r="G8" s="18" t="inlineStr">
        <is>
          <t>Not Tested</t>
        </is>
      </c>
      <c r="H8" s="19" t="inlineStr"/>
      <c r="I8" s="18" t="inlineStr"/>
      <c r="J8" s="19" t="inlineStr"/>
      <c r="K8" s="19" t="inlineStr">
        <is>
          <t>Legality › Managing Rule Sets</t>
        </is>
      </c>
    </row>
    <row r="9">
      <c r="A9" s="20" t="inlineStr">
        <is>
          <t>T3-LG-004</t>
        </is>
      </c>
      <c r="B9" s="21" t="inlineStr">
        <is>
          <t>Legality — Admin</t>
        </is>
      </c>
      <c r="C9" s="21" t="inlineStr">
        <is>
          <t>Browse the rule catalog tree and copy a template to a new instance</t>
        </is>
      </c>
      <c r="D9" s="21" t="inlineStr">
        <is>
          <t>1. Open Rule Templates from the sidebar (or use the Rule Instances tree on the Rule Sets view).
2. Expand the reference › category › function › instance hierarchy and confirm template instance-001 rows carry an amber star and a Template badge.
3. Type '8002' into 'Search rules…' and confirm matching branches auto-expand and hits highlight.
4. Click an instance and confirm its parameter table loads on the right.
5. Hover a template instance and click 'Copy to new instance'.
6. Confirm a new editable Copy (instance 001 of the same function) is created and its parameters can be edited independently.
7. Attempt 'Delete this instance' on a Template and on a rule used by a Rule Set.</t>
        </is>
      </c>
      <c r="E9" s="21" t="inlineStr">
        <is>
          <t>Catalog tree navigates the four-level hierarchy; search auto-expands/highlights; clicking an instance loads its Params table; Copy to new instance produces an independent editable copy. Delete is refused for Templates and for any rule used by a Rule Set.</t>
        </is>
      </c>
      <c r="F9" s="20" t="inlineStr">
        <is>
          <t>Medium</t>
        </is>
      </c>
      <c r="G9" s="20" t="inlineStr">
        <is>
          <t>Not Tested</t>
        </is>
      </c>
      <c r="H9" s="21" t="inlineStr"/>
      <c r="I9" s="20" t="inlineStr"/>
      <c r="J9" s="21" t="inlineStr"/>
      <c r="K9" s="21" t="inlineStr">
        <is>
          <t>Legality › Rule Templates &amp; Instances</t>
        </is>
      </c>
    </row>
    <row r="10">
      <c r="A10" s="18" t="inlineStr">
        <is>
          <t>T3-LG-005</t>
        </is>
      </c>
      <c r="B10" s="19" t="inlineStr">
        <is>
          <t>Legality — Admin</t>
        </is>
      </c>
      <c r="C10" s="19" t="inlineStr">
        <is>
          <t>Edit a rule parameter row, undo, save all and flag a recheck</t>
        </is>
      </c>
      <c r="D10" s="19" t="inlineStr">
        <is>
          <t>1. Click a rule to expand its parameter table in place (Row column visible as 1,2,3…).
2. Click the Edit row pencil in the Actions column; the row turns amber and cells validate their own format.
3. Change a threshold (e.g. lower Max Limits) and click ✓ (enabled only when every cell is valid).
4. Use Copy row, then Move up / Move down, then Add Row and Delete row (confirm 'Yes, delete').
5. In the Changes panel confirm each EDIT / COPY / MOVE / ADD / DEL action is logged newest-first; click ⟲ Undo once and confirm the last change reverts.
6. Click Save All and wait for 'Saving…' → 'Parameters saved'.</t>
        </is>
      </c>
      <c r="E10" s="19" t="inlineStr">
        <is>
          <t>Row edits validate per-cell and only commit on ✓; Changes panel logs every action with Undo working; nothing persists until Save All. After Save All the parameters are written to the rule set and the affected rosters are flagged for a legality recheck (live check auto re-runs). Without admin rights the Actions column, Add Row and Save All are hidden and the table is read-only.</t>
        </is>
      </c>
      <c r="F10" s="18" t="inlineStr">
        <is>
          <t>High</t>
        </is>
      </c>
      <c r="G10" s="18" t="inlineStr">
        <is>
          <t>Not Tested</t>
        </is>
      </c>
      <c r="H10" s="19" t="inlineStr"/>
      <c r="I10" s="18" t="inlineStr"/>
      <c r="J10" s="19" t="inlineStr"/>
      <c r="K10" s="19" t="inlineStr">
        <is>
          <t>Legality › Editing rule parameters (admin)</t>
        </is>
      </c>
    </row>
    <row r="11" ht="18" customHeight="1">
      <c r="A11" s="16" t="inlineStr">
        <is>
          <t>▸ Legality — Rule</t>
        </is>
      </c>
      <c r="B11" s="17" t="n"/>
      <c r="C11" s="17" t="n"/>
      <c r="D11" s="17" t="n"/>
      <c r="E11" s="17" t="n"/>
      <c r="F11" s="17" t="n"/>
      <c r="G11" s="17" t="n"/>
      <c r="H11" s="17" t="n"/>
      <c r="I11" s="17" t="n"/>
      <c r="J11" s="17" t="n"/>
      <c r="K11" s="17" t="n"/>
    </row>
    <row r="12">
      <c r="A12" s="18" t="inlineStr">
        <is>
          <t>T3-LG-006</t>
        </is>
      </c>
      <c r="B12" s="19" t="inlineStr">
        <is>
          <t>Legality — Rule</t>
        </is>
      </c>
      <c r="C12" s="19" t="inlineStr">
        <is>
          <t>1001 Assignment Overlap fires when a Before and After duty overlap in time</t>
        </is>
      </c>
      <c r="D12" s="19" t="inlineStr">
        <is>
          <t>1. Assign the crew a FLY duty.
2. Assign a second activity (a day off DO, or an L|O type) whose time window overlaps the FLY duty end (Rest Before = Y tests against duty end).
3. Recheck legality and open the Alert Center.
4. Repeat with the second activity moved so it does NOT overlap the duty window.</t>
        </is>
      </c>
      <c r="E12" s="19" t="inlineStr">
        <is>
          <t>Overlapping case raises a 1001 Assignment Overlap violation naming the prohibited Before → After combination (e.g. FLY → DO). The non-overlapping rest-only day off / leave stays Allowed with no 1001 violation.</t>
        </is>
      </c>
      <c r="F12" s="18" t="inlineStr">
        <is>
          <t>High</t>
        </is>
      </c>
      <c r="G12" s="18" t="inlineStr">
        <is>
          <t>Not Tested</t>
        </is>
      </c>
      <c r="H12" s="19" t="inlineStr"/>
      <c r="I12" s="18" t="inlineStr"/>
      <c r="J12" s="19" t="inlineStr"/>
      <c r="K12" s="19" t="inlineStr">
        <is>
          <t>Legality › 1001 — Assignment Overlap</t>
        </is>
      </c>
    </row>
    <row r="13">
      <c r="A13" s="20" t="inlineStr">
        <is>
          <t>T3-LG-007</t>
        </is>
      </c>
      <c r="B13" s="21" t="inlineStr">
        <is>
          <t>Legality — Rule</t>
        </is>
      </c>
      <c r="C13" s="21" t="inlineStr">
        <is>
          <t>2014 Local Night Definition raises no violation but supplies the local-night window downstream</t>
        </is>
      </c>
      <c r="D13" s="21" t="inlineStr">
        <is>
          <t>1. Open rule 2014 and confirm the 'No violations' chip / definition note.
2. Confirm no Alert Center row is ever attributed to 2014 itself.
3. As admin change Local Night Start/End and Min Interval Hours, Save All and recheck.
4. Observe day-off/WOCL rules that consume it (7501 Single Day Free, 7503/7504 WOCL) recompute their single-day/local-night boundaries.</t>
        </is>
      </c>
      <c r="E13" s="21" t="inlineStr">
        <is>
          <t>Rule 2014 never produces its own violation. Changing its window shifts the local-night boundary used by 7501 and the WOCL run reset in 7503/7504, changing those rules' results — proving 2014 feeds downstream rather than firing itself.</t>
        </is>
      </c>
      <c r="F13" s="20" t="inlineStr">
        <is>
          <t>High</t>
        </is>
      </c>
      <c r="G13" s="20" t="inlineStr">
        <is>
          <t>Not Tested</t>
        </is>
      </c>
      <c r="H13" s="21" t="inlineStr"/>
      <c r="I13" s="20" t="inlineStr"/>
      <c r="J13" s="21" t="inlineStr"/>
      <c r="K13" s="21" t="inlineStr">
        <is>
          <t>Legality › 2014 — Local Night Definition</t>
        </is>
      </c>
    </row>
    <row r="14">
      <c r="A14" s="18" t="inlineStr">
        <is>
          <t>T3-LG-008</t>
        </is>
      </c>
      <c r="B14" s="19" t="inlineStr">
        <is>
          <t>Legality — Rule</t>
        </is>
      </c>
      <c r="C14" s="19" t="inlineStr">
        <is>
          <t>7272 Reserve DP raises no violation but charges reserve/standby duty period downstream</t>
        </is>
      </c>
      <c r="D14" s="19" t="inlineStr">
        <is>
          <t>1. Open rule 7272 and confirm the 'No violations' chip.
2. Assign a crew a reserve/standby block (SBY) that carries no flight segments.
3. Recheck and confirm no Alert Center row is attributed to 7272 itself.
4. Inspect 8002 Maximum Hours of Work for the same crew and confirm the standby block contributes a charged duty period (≈ Rate 0.33 of the standby window).</t>
        </is>
      </c>
      <c r="E14" s="19" t="inlineStr">
        <is>
          <t>Rule 7272 produces no violation of its own; it assigns the reserve/standby block a duty-period value that 8002 Maximum Hours of Work counts. Lowering the Rate reduces the duty charged to the cumulative duty-hour rule.</t>
        </is>
      </c>
      <c r="F14" s="18" t="inlineStr">
        <is>
          <t>High</t>
        </is>
      </c>
      <c r="G14" s="18" t="inlineStr">
        <is>
          <t>Not Tested</t>
        </is>
      </c>
      <c r="H14" s="19" t="inlineStr"/>
      <c r="I14" s="18" t="inlineStr"/>
      <c r="J14" s="19" t="inlineStr"/>
      <c r="K14" s="19" t="inlineStr">
        <is>
          <t>Legality › 7272 — Calculate DP of the Reserves</t>
        </is>
      </c>
    </row>
    <row r="15">
      <c r="A15" s="20" t="inlineStr">
        <is>
          <t>T3-LG-009</t>
        </is>
      </c>
      <c r="B15" s="21" t="inlineStr">
        <is>
          <t>Legality — Rule</t>
        </is>
      </c>
      <c r="C15" s="21" t="inlineStr">
        <is>
          <t>7500 Acc State raises no violation but supplies the acclimatized time zone downstream</t>
        </is>
      </c>
      <c r="D15" s="21" t="inlineStr">
        <is>
          <t>1. Open rule 7500 and confirm the 'No violations' chip / definition note.
2. Recheck legality and confirm no Alert Center row is attributed to 7500 itself.
3. Give a crew duty in a distant time zone and confirm the WOCL rules 7503/7504 read local time at the acclimatized (base) zone this rule produces.</t>
        </is>
      </c>
      <c r="E15" s="21" t="inlineStr">
        <is>
          <t>Rule 7500 never fires; it produces each crew's acclimatized reference time zone (base-zone fallback) that the WOCL rules 7503/7504 consume to read 02:00–05:59 local time. No violation is ever labelled 7500.</t>
        </is>
      </c>
      <c r="F15" s="20" t="inlineStr">
        <is>
          <t>High</t>
        </is>
      </c>
      <c r="G15" s="20" t="inlineStr">
        <is>
          <t>Not Tested</t>
        </is>
      </c>
      <c r="H15" s="21" t="inlineStr"/>
      <c r="I15" s="20" t="inlineStr"/>
      <c r="J15" s="21" t="inlineStr"/>
      <c r="K15" s="21" t="inlineStr">
        <is>
          <t>Legality › 7500 — Basic definition of Acc State</t>
        </is>
      </c>
    </row>
    <row r="16">
      <c r="A16" s="18" t="inlineStr">
        <is>
          <t>T3-LG-010</t>
        </is>
      </c>
      <c r="B16" s="19" t="inlineStr">
        <is>
          <t>Legality — Rule</t>
        </is>
      </c>
      <c r="C16" s="19" t="inlineStr">
        <is>
          <t>7501 Single Day Free from Duty fires when too few single days free fall in a rolling window</t>
        </is>
      </c>
      <c r="D16" s="19" t="inlineStr">
        <is>
          <t>1. Build a roster where a crew has fewer than the required single days free from duty inside a rolling 168-hour window (below the demo minimum of 3).
2. Recheck legality and open the Alert Center.
3. Adjust the roster to insert enough single days free (≥3 in 168h and ≥4 in 672h) and recheck.</t>
        </is>
      </c>
      <c r="E16" s="19" t="inlineStr">
        <is>
          <t>Under-provisioned window raises a 7501 Single Day Free from Duty in Rolling Hours violation (message prefixed with the parameter Row, e.g. the 168 RH row). When the required single days free are provided in both the 168h and 672h windows, no 7501 violation appears.</t>
        </is>
      </c>
      <c r="F16" s="18" t="inlineStr">
        <is>
          <t>High</t>
        </is>
      </c>
      <c r="G16" s="18" t="inlineStr">
        <is>
          <t>Not Tested</t>
        </is>
      </c>
      <c r="H16" s="19" t="inlineStr"/>
      <c r="I16" s="18" t="inlineStr"/>
      <c r="J16" s="19" t="inlineStr"/>
      <c r="K16" s="19" t="inlineStr">
        <is>
          <t>Legality › 7501 — Single Day Free from Duty in Rolling Hours</t>
        </is>
      </c>
    </row>
    <row r="17">
      <c r="A17" s="20" t="inlineStr">
        <is>
          <t>T3-LG-011</t>
        </is>
      </c>
      <c r="B17" s="21" t="inlineStr">
        <is>
          <t>Legality — Rule</t>
        </is>
      </c>
      <c r="C17" s="21" t="inlineStr">
        <is>
          <t>7502 Credit Hours raises no violation but feeds the monthly credit-hour band</t>
        </is>
      </c>
      <c r="D17" s="21" t="inlineStr">
        <is>
          <t>1. Open rule 7502 and confirm the 'No violations' chip.
2. Assign a crew a mix of FLY, GND and DO/leave days and recheck.
3. Confirm no Alert Center row is attributed to 7502 itself.
4. Inspect the 8002 Maximum Flight Time monthly credit-hour band (Type CH) and confirm it reconciles against the credit values 7502 derives.</t>
        </is>
      </c>
      <c r="E17" s="21" t="inlineStr">
        <is>
          <t>Rule 7502 never fires; it computes each assignment's credit hours (min-floor / flight hours / duty ratio) that the 8002 monthly credit-hour band (CH 65:00–75:00 demo) reads. No violation is labelled 7502.</t>
        </is>
      </c>
      <c r="F17" s="20" t="inlineStr">
        <is>
          <t>High</t>
        </is>
      </c>
      <c r="G17" s="20" t="inlineStr">
        <is>
          <t>Not Tested</t>
        </is>
      </c>
      <c r="H17" s="21" t="inlineStr"/>
      <c r="I17" s="20" t="inlineStr"/>
      <c r="J17" s="21" t="inlineStr"/>
      <c r="K17" s="21" t="inlineStr">
        <is>
          <t>Legality › 7502 — The Calculation of Credit Hours</t>
        </is>
      </c>
    </row>
    <row r="18">
      <c r="A18" s="18" t="inlineStr">
        <is>
          <t>T3-LG-012</t>
        </is>
      </c>
      <c r="B18" s="19" t="inlineStr">
        <is>
          <t>Legality — Rule</t>
        </is>
      </c>
      <c r="C18" s="19" t="inlineStr">
        <is>
          <t>7503 Limits of Consecutive WOCLs fires when consecutive WOCL duties exceed the cap</t>
        </is>
      </c>
      <c r="D18" s="19" t="inlineStr">
        <is>
          <t>1. Assign a crew 3 consecutive duties each touching 02:00–05:59 acclimatized, with no local night's rest resetting the run (exceeds the demo cap of 2).
2. Recheck legality and open the Alert Center.
3. Reduce to 2 consecutive WOCL duties (or insert a local night's rest to reset the run) and recheck.</t>
        </is>
      </c>
      <c r="E18" s="19" t="inlineStr">
        <is>
          <t>Exceeding the Max Consecutive WOCLs cap raises a 7503 Limits of Consecutive WOCLs violation. Within the cap (or with a local night's rest breaking the run) no 7503 violation appears.</t>
        </is>
      </c>
      <c r="F18" s="18" t="inlineStr">
        <is>
          <t>High</t>
        </is>
      </c>
      <c r="G18" s="18" t="inlineStr">
        <is>
          <t>Not Tested</t>
        </is>
      </c>
      <c r="H18" s="19" t="inlineStr"/>
      <c r="I18" s="18" t="inlineStr"/>
      <c r="J18" s="19" t="inlineStr"/>
      <c r="K18" s="19" t="inlineStr">
        <is>
          <t>Legality › 7503 — Limits of Consecutive WOCLs</t>
        </is>
      </c>
    </row>
    <row r="19">
      <c r="A19" s="20" t="inlineStr">
        <is>
          <t>T3-LG-013</t>
        </is>
      </c>
      <c r="B19" s="21" t="inlineStr">
        <is>
          <t>Legality — Rule</t>
        </is>
      </c>
      <c r="C19" s="21" t="inlineStr">
        <is>
          <t>7504 Spacing Rule – WOCL fires when two WOCL flight duties are spaced under the minimum</t>
        </is>
      </c>
      <c r="D19" s="21" t="inlineStr">
        <is>
          <t>1. Assign a crew two flight duties that each touch the WOCL (02:00–05:59), spaced less than the demo minimum of 80 rolling hours apart.
2. Recheck legality and open the Alert Center.
3. Move the second WOCL flight duty so the gap is ≥80 RH and recheck.</t>
        </is>
      </c>
      <c r="E19" s="21" t="inlineStr">
        <is>
          <t>Spacing below the Min Period raises a 7504 Spacing Rule - WOCL violation between the two WOCL flight duties. When the two WOCL duties are ≥ the minimum spacing apart, no 7504 violation appears (other duties may sit in the gap).</t>
        </is>
      </c>
      <c r="F19" s="20" t="inlineStr">
        <is>
          <t>High</t>
        </is>
      </c>
      <c r="G19" s="20" t="inlineStr">
        <is>
          <t>Not Tested</t>
        </is>
      </c>
      <c r="H19" s="21" t="inlineStr"/>
      <c r="I19" s="20" t="inlineStr"/>
      <c r="J19" s="21" t="inlineStr"/>
      <c r="K19" s="21" t="inlineStr">
        <is>
          <t>Legality › 7504 — Spacing Rule - WOCL</t>
        </is>
      </c>
    </row>
    <row r="20">
      <c r="A20" s="18" t="inlineStr">
        <is>
          <t>T3-LG-014</t>
        </is>
      </c>
      <c r="B20" s="19" t="inlineStr">
        <is>
          <t>Legality — Rule</t>
        </is>
      </c>
      <c r="C20" s="19" t="inlineStr">
        <is>
          <t>7505 Min # GDOs in a RP fires when guaranteed days off fall below the sliding minimum</t>
        </is>
      </c>
      <c r="D20" s="19" t="inlineStr">
        <is>
          <t>1. Select a 31-day roster period and a crew with 0 vacation days (row requires 13 Min DO).
2. Assign enough duty so the crew has fewer than 13 days off (DO group) in the period.
3. Recheck legality and open the Alert Center.
4. Free up days so the crew has ≥13 GDOs (or add vacation so the required minimum slides down below the actual count) and recheck.</t>
        </is>
      </c>
      <c r="E20" s="19" t="inlineStr">
        <is>
          <t>Below the row's Min DO (13 for a 31-day month, 0 vacation) raises a 7505 Min # GDOs in a RP violation. When GDOs meet or exceed the sliding minimum for the matched month-length/vacation band, no 7505 violation appears.</t>
        </is>
      </c>
      <c r="F20" s="18" t="inlineStr">
        <is>
          <t>High</t>
        </is>
      </c>
      <c r="G20" s="18" t="inlineStr">
        <is>
          <t>Not Tested</t>
        </is>
      </c>
      <c r="H20" s="19" t="inlineStr"/>
      <c r="I20" s="18" t="inlineStr"/>
      <c r="J20" s="19" t="inlineStr"/>
      <c r="K20" s="19" t="inlineStr">
        <is>
          <t>Legality › 7505 — Min # GDOs in a RP</t>
        </is>
      </c>
    </row>
    <row r="21">
      <c r="A21" s="20" t="inlineStr">
        <is>
          <t>T3-LG-015</t>
        </is>
      </c>
      <c r="B21" s="21" t="inlineStr">
        <is>
          <t>Legality — Rule</t>
        </is>
      </c>
      <c r="C21" s="21" t="inlineStr">
        <is>
          <t>7506 One Check-in Per Day fires on a second flight report the same calendar day</t>
        </is>
      </c>
      <c r="D21" s="21" t="inlineStr">
        <is>
          <t>1. Assign a crew two separate FLY duties that each require a report (check-in) on the same calendar day.
2. Recheck legality and open the Alert Center.
3. Move the second FLY duty's report to the next calendar day and recheck.</t>
        </is>
      </c>
      <c r="E21" s="21" t="inlineStr">
        <is>
          <t>Two reports on the same calendar day raise a 7506 One Check-in Per Day violation. When the two reports fall on different calendar days, no 7506 violation appears.</t>
        </is>
      </c>
      <c r="F21" s="20" t="inlineStr">
        <is>
          <t>High</t>
        </is>
      </c>
      <c r="G21" s="20" t="inlineStr">
        <is>
          <t>Not Tested</t>
        </is>
      </c>
      <c r="H21" s="21" t="inlineStr"/>
      <c r="I21" s="20" t="inlineStr"/>
      <c r="J21" s="21" t="inlineStr"/>
      <c r="K21" s="21" t="inlineStr">
        <is>
          <t>Legality › 7506 — One Checkin Per Day</t>
        </is>
      </c>
    </row>
    <row r="22">
      <c r="A22" s="18" t="inlineStr">
        <is>
          <t>T3-LG-016</t>
        </is>
      </c>
      <c r="B22" s="19" t="inlineStr">
        <is>
          <t>Legality — Rule</t>
        </is>
      </c>
      <c r="C22" s="19" t="inlineStr">
        <is>
          <t>7507 Min # GDOs with fly/reserve filters fires when GDOs fall below the min for the matching band</t>
        </is>
      </c>
      <c r="D22" s="19" t="inlineStr">
        <is>
          <t>1. Build a roster for a crew whose fly-day and reserve-day counts fall inside a specific NUM FLY DAY / NUM RESERVES band row.
2. Assign duty so days off drop below that row's Min DO.
3. Recheck legality and open the Alert Center.
4. Add days off so GDOs meet the row's Min DO (or change fly/reserve counts so a more lenient band row matches) and recheck.</t>
        </is>
      </c>
      <c r="E22" s="19" t="inlineStr">
        <is>
          <t>When the crew's fly-day/reserve-day counts match a band row and GDOs are below that row's Min DO, a 7507 Min # GDOs violation fires. Meeting the Min DO for the matched fly/reserve band clears it; a crew whose counts match no band (or * filters) is not constrained by that row.</t>
        </is>
      </c>
      <c r="F22" s="18" t="inlineStr">
        <is>
          <t>High</t>
        </is>
      </c>
      <c r="G22" s="18" t="inlineStr">
        <is>
          <t>Not Tested</t>
        </is>
      </c>
      <c r="H22" s="19" t="inlineStr"/>
      <c r="I22" s="18" t="inlineStr"/>
      <c r="J22" s="19" t="inlineStr"/>
      <c r="K22" s="19" t="inlineStr">
        <is>
          <t>Legality › 7507 — Min # GDOs (fly/reserve filters)</t>
        </is>
      </c>
    </row>
    <row r="23">
      <c r="A23" s="20" t="inlineStr">
        <is>
          <t>T3-LG-017</t>
        </is>
      </c>
      <c r="B23" s="21" t="inlineStr">
        <is>
          <t>Legality — Rule</t>
        </is>
      </c>
      <c r="C23" s="21" t="inlineStr">
        <is>
          <t>8002 Maximum Flight Time fires when cumulative block hours exceed the rolling-window cap</t>
        </is>
      </c>
      <c r="D23" s="21" t="inlineStr">
        <is>
          <t>1. Assign a crew flight duties whose cumulative block (flight) hours in the rolling 28-day window exceed the 40:00 demo Max Limit.
2. Recheck legality and open the Alert Center.
3. Separately, drive the calendar-month credit hours outside the 65:00–75:00 band.
4. Reduce block hours below 40:00 in every rolling window and bring credit hours inside 65–75, then recheck.</t>
        </is>
      </c>
      <c r="E23" s="21" t="inlineStr">
        <is>
          <t>Block hours over a window's Max Limit raise an 8002 Maximum Flight Time violation (message names the offending Row/window, e.g. the 28-day row). Credit hours outside the monthly Min/Max band trigger the standalone credit-hour-utilisation row. Within every window's limit and inside the credit band, no 8002 flight-time violation appears.</t>
        </is>
      </c>
      <c r="F23" s="20" t="inlineStr">
        <is>
          <t>High</t>
        </is>
      </c>
      <c r="G23" s="20" t="inlineStr">
        <is>
          <t>Not Tested</t>
        </is>
      </c>
      <c r="H23" s="21" t="inlineStr"/>
      <c r="I23" s="20" t="inlineStr"/>
      <c r="J23" s="21" t="inlineStr"/>
      <c r="K23" s="21" t="inlineStr">
        <is>
          <t>Legality › 8002 — Maximum Flight Time</t>
        </is>
      </c>
    </row>
    <row r="24">
      <c r="A24" s="18" t="inlineStr">
        <is>
          <t>T3-LG-018</t>
        </is>
      </c>
      <c r="B24" s="19" t="inlineStr">
        <is>
          <t>Legality — Rule</t>
        </is>
      </c>
      <c r="C24" s="19" t="inlineStr">
        <is>
          <t>8002 Maximum Hours of Work fires when cumulative duty hours exceed the rolling-window cap</t>
        </is>
      </c>
      <c r="D24" s="19" t="inlineStr">
        <is>
          <t>1. Assign a crew duty (flight + positioning + charged reserve) so cumulative duty time in the rolling 7-day window exceeds 60:00.
2. Recheck legality and open the Alert Center.
3. Reduce duty so all three windows (7/28/365 days) are under their Max Limits and recheck.</t>
        </is>
      </c>
      <c r="E24" s="19" t="inlineStr">
        <is>
          <t>Duty time over a window's Max Limit raises an 8002 Maximum Hours of Work violation naming the offending Row/window (e.g. the 7-day 60:00 row). When all rolling windows are within limits, no 8002 hours-of-work violation appears.</t>
        </is>
      </c>
      <c r="F24" s="18" t="inlineStr">
        <is>
          <t>High</t>
        </is>
      </c>
      <c r="G24" s="18" t="inlineStr">
        <is>
          <t>Not Tested</t>
        </is>
      </c>
      <c r="H24" s="19" t="inlineStr"/>
      <c r="I24" s="18" t="inlineStr"/>
      <c r="J24" s="19" t="inlineStr"/>
      <c r="K24" s="19" t="inlineStr">
        <is>
          <t>Legality › 8002 — Maximum Hours of Work</t>
        </is>
      </c>
    </row>
    <row r="25">
      <c r="A25" s="20" t="inlineStr">
        <is>
          <t>T3-LG-019</t>
        </is>
      </c>
      <c r="B25" s="21" t="inlineStr">
        <is>
          <t>Legality — Rule</t>
        </is>
      </c>
      <c r="C25" s="21" t="inlineStr">
        <is>
          <t>8004 Basic Competency fires when a crew is not qualified for a flight's base/rank/fleet</t>
        </is>
      </c>
      <c r="D25" s="21" t="inlineStr">
        <is>
          <t>1. Assign a crew a FLY duty at a base for which the crew holds no base qualification.
2. Recheck legality and open the Alert Center.
3. Reassign the flight to a base the crew is qualified for (or grant the base qualification) and recheck.
4. (Optional) Enable the RANK or FLEET dimension and repeat for an unqualified rank/fleet.</t>
        </is>
      </c>
      <c r="E25" s="21" t="inlineStr">
        <is>
          <t>A flight at an unqualified base raises an 8004 Basic Competency-F8 violation. When the crew holds the required base qualification (within grace), no 8004 violation appears. With RANK/FLEET checks enabled, the same fires for an unqualified rank or fleet.</t>
        </is>
      </c>
      <c r="F25" s="20" t="inlineStr">
        <is>
          <t>High</t>
        </is>
      </c>
      <c r="G25" s="20" t="inlineStr">
        <is>
          <t>Not Tested</t>
        </is>
      </c>
      <c r="H25" s="21" t="inlineStr"/>
      <c r="I25" s="20" t="inlineStr"/>
      <c r="J25" s="21" t="inlineStr"/>
      <c r="K25" s="21" t="inlineStr">
        <is>
          <t>Legality › 8004 — Basic Competency-F8</t>
        </is>
      </c>
    </row>
    <row r="26">
      <c r="A26" s="18" t="inlineStr">
        <is>
          <t>T3-LG-020</t>
        </is>
      </c>
      <c r="B26" s="19" t="inlineStr">
        <is>
          <t>Legality — Rule</t>
        </is>
      </c>
      <c r="C26" s="19" t="inlineStr">
        <is>
          <t>8030 Age Restriction fires when too many over-age crew share a flight</t>
        </is>
      </c>
      <c r="D26" s="19" t="inlineStr">
        <is>
          <t>1. Assign a pairing/flight so that its complement contains more crew over the Age Define threshold (65) than Max Number (e.g. two pilots over 65, or a pilot over 65 flying with a pilot over 60).
2. Recheck legality and open the Alert Center.
3. Swap one over-age crew for an under-threshold crew so the count is ≤ Max Number and recheck.</t>
        </is>
      </c>
      <c r="E26" s="19" t="inlineStr">
        <is>
          <t>When the count of over-age crew on the flight complement exceeds Max Number, an 8030 Age Restriction violation fires on the flight (checked across all crew on the trip, not just the edited one). With the over-age count within Max Number, no 8030 violation appears.</t>
        </is>
      </c>
      <c r="F26" s="18" t="inlineStr">
        <is>
          <t>High</t>
        </is>
      </c>
      <c r="G26" s="18" t="inlineStr">
        <is>
          <t>Not Tested</t>
        </is>
      </c>
      <c r="H26" s="19" t="inlineStr"/>
      <c r="I26" s="18" t="inlineStr"/>
      <c r="J26" s="19" t="inlineStr"/>
      <c r="K26" s="19" t="inlineStr">
        <is>
          <t>Legality › 8030 — Age Restriction</t>
        </is>
      </c>
    </row>
    <row r="27">
      <c r="A27" s="20" t="inlineStr">
        <is>
          <t>T3-LG-021</t>
        </is>
      </c>
      <c r="B27" s="21" t="inlineStr">
        <is>
          <t>Legality — Rule</t>
        </is>
      </c>
      <c r="C27" s="21" t="inlineStr">
        <is>
          <t>8056 Roster Spacing fires when two qualifying duties are scheduled under the minimum gap</t>
        </is>
      </c>
      <c r="D27" s="21" t="inlineStr">
        <is>
          <t>1. Assign a crew a flight duty (A) followed by a flight/standby/simulator duty (B) spaced less than the demo minimum of 24 rolling hours apart.
2. Recheck legality and open the Alert Center.
3. Increase the gap between A and B to ≥24 RH and recheck.</t>
        </is>
      </c>
      <c r="E27" s="21" t="inlineStr">
        <is>
          <t>A FLY → FLY|SBY|SIM pair closer than the Space minimum raises an 8056 Roster Spacing violation. When the two qualifying duties are spaced at least the minimum apart, no 8056 violation appears.</t>
        </is>
      </c>
      <c r="F27" s="20" t="inlineStr">
        <is>
          <t>High</t>
        </is>
      </c>
      <c r="G27" s="20" t="inlineStr">
        <is>
          <t>Not Tested</t>
        </is>
      </c>
      <c r="H27" s="21" t="inlineStr"/>
      <c r="I27" s="20" t="inlineStr"/>
      <c r="J27" s="21" t="inlineStr"/>
      <c r="K27" s="21" t="inlineStr">
        <is>
          <t>Legality › 8056 — Roster Spacing</t>
        </is>
      </c>
    </row>
  </sheetData>
  <mergeCells count="4">
    <mergeCell ref="A2:K2"/>
    <mergeCell ref="A11:K11"/>
    <mergeCell ref="A1:K1"/>
    <mergeCell ref="A5:K5"/>
  </mergeCells>
  <dataValidations count="2">
    <dataValidation sqref="G5:G27" showDropDown="0" showInputMessage="0" showErrorMessage="0" allowBlank="0" type="list">
      <formula1>"Pass,Fail,Blocked,Not Tested"</formula1>
    </dataValidation>
    <dataValidation sqref="F5:F27"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4" customWidth="1" min="3" max="3"/>
    <col width="60" customWidth="1" min="4" max="4"/>
    <col width="48" customWidth="1" min="5" max="5"/>
    <col width="10" customWidth="1" min="6" max="6"/>
    <col width="13" customWidth="1" min="7" max="7"/>
    <col width="14" customWidth="1" min="8" max="8"/>
    <col width="13" customWidth="1" min="9" max="9"/>
    <col width="30" customWidth="1" min="10" max="10"/>
    <col width="28" customWidth="1" min="11" max="11"/>
  </cols>
  <sheetData>
    <row r="1" ht="30" customHeight="1">
      <c r="A1" s="15" t="inlineStr">
        <is>
          <t>T4 — Crew Portal  (Crew Bidding App)</t>
        </is>
      </c>
    </row>
    <row r="2" ht="18" customHeight="1">
      <c r="A2" s="2" t="inlineStr">
        <is>
          <t>UAT Round 1   •   F8 (Flair) PBS   •   Reference: online help   •   crew-f8-usva-sit.roiscloud.com/pbs/help</t>
        </is>
      </c>
    </row>
    <row r="3" ht="6" customHeight="1"/>
    <row r="4" ht="26" customHeight="1">
      <c r="A4" s="3" t="inlineStr">
        <is>
          <t>Test ID</t>
        </is>
      </c>
      <c r="B4" s="3" t="inlineStr">
        <is>
          <t>Feature</t>
        </is>
      </c>
      <c r="C4" s="3" t="inlineStr">
        <is>
          <t>What to Test</t>
        </is>
      </c>
      <c r="D4" s="3" t="inlineStr">
        <is>
          <t>How to Test (Steps)</t>
        </is>
      </c>
      <c r="E4" s="3" t="inlineStr">
        <is>
          <t>Expected Result</t>
        </is>
      </c>
      <c r="F4" s="3" t="inlineStr">
        <is>
          <t>Priority</t>
        </is>
      </c>
      <c r="G4" s="3" t="inlineStr">
        <is>
          <t>Result</t>
        </is>
      </c>
      <c r="H4" s="3" t="inlineStr">
        <is>
          <t>Tester</t>
        </is>
      </c>
      <c r="I4" s="3" t="inlineStr">
        <is>
          <t>Date Tested</t>
        </is>
      </c>
      <c r="J4" s="3" t="inlineStr">
        <is>
          <t>Comments / Screenshot</t>
        </is>
      </c>
      <c r="K4" s="3" t="inlineStr">
        <is>
          <t>Help Reference</t>
        </is>
      </c>
    </row>
    <row r="5" ht="18" customHeight="1">
      <c r="A5" s="16" t="inlineStr">
        <is>
          <t>▸ Quick Start</t>
        </is>
      </c>
      <c r="B5" s="17" t="n"/>
      <c r="C5" s="17" t="n"/>
      <c r="D5" s="17" t="n"/>
      <c r="E5" s="17" t="n"/>
      <c r="F5" s="17" t="n"/>
      <c r="G5" s="17" t="n"/>
      <c r="H5" s="17" t="n"/>
      <c r="I5" s="17" t="n"/>
      <c r="J5" s="17" t="n"/>
      <c r="K5" s="17" t="n"/>
    </row>
    <row r="6">
      <c r="A6" s="18" t="inlineStr">
        <is>
          <t>T4-CP-001</t>
        </is>
      </c>
      <c r="B6" s="19" t="inlineStr">
        <is>
          <t>Quick Start</t>
        </is>
      </c>
      <c r="C6" s="19" t="inlineStr">
        <is>
          <t>Portal top navigation exposes all bidding pages</t>
        </is>
      </c>
      <c r="D6" s="19" t="inlineStr">
        <is>
          <t>1. Log in to PBS Portal.
2. Read the top navigation.
3. Open each page in turn: Dashboard, Bid, Reserve, Standing Bid, Award, Help.</t>
        </is>
      </c>
      <c r="E6" s="19" t="inlineStr">
        <is>
          <t>All six pages are reachable from navigation: Dashboard shows bid period/profile/calendar, Bid holds Days Off/Pairing/Roster conditions, Reserve holds Reserve Preference, Standing Bid holds reusable conditions, Award shows published results, and Help returns to the manual.</t>
        </is>
      </c>
      <c r="F6" s="18" t="inlineStr">
        <is>
          <t>Low</t>
        </is>
      </c>
      <c r="G6" s="18" t="inlineStr">
        <is>
          <t>Not Tested</t>
        </is>
      </c>
      <c r="H6" s="19" t="inlineStr"/>
      <c r="I6" s="18" t="inlineStr"/>
      <c r="J6" s="19" t="inlineStr"/>
      <c r="K6" s="19" t="inlineStr">
        <is>
          <t>Quick Start › PBS Portal overview</t>
        </is>
      </c>
    </row>
    <row r="7">
      <c r="A7" s="20" t="inlineStr">
        <is>
          <t>T4-CP-002</t>
        </is>
      </c>
      <c r="B7" s="21" t="inlineStr">
        <is>
          <t>Quick Start</t>
        </is>
      </c>
      <c r="C7" s="21" t="inlineStr">
        <is>
          <t>Confirm bid-period context before adding a condition</t>
        </is>
      </c>
      <c r="D7" s="21" t="inlineStr">
        <is>
          <t>1. Open Dashboard and confirm the crew name and employee information for the active session.
2. Read BID INFORMATION-LOCAL TIME and note bid start, bid end, and remaining time.
3. Confirm the month shown in BIDDING CALENDAR.
4. Decide whether the condition belongs to Current Bid or should be a reusable Standing Bid.</t>
        </is>
      </c>
      <c r="E7" s="21" t="inlineStr">
        <is>
          <t>Identity, BID START/BID END/REMAINING, and calendar month are all displayed; crew can distinguish Current Bid from Standing Bid before proceeding to Bid, Reserve, or Standing Bid.</t>
        </is>
      </c>
      <c r="F7" s="20" t="inlineStr">
        <is>
          <t>Low</t>
        </is>
      </c>
      <c r="G7" s="20" t="inlineStr">
        <is>
          <t>Not Tested</t>
        </is>
      </c>
      <c r="H7" s="21" t="inlineStr"/>
      <c r="I7" s="20" t="inlineStr"/>
      <c r="J7" s="21" t="inlineStr"/>
      <c r="K7" s="21" t="inlineStr">
        <is>
          <t>Quick Start › Before you begin</t>
        </is>
      </c>
    </row>
    <row r="8">
      <c r="A8" s="18" t="inlineStr">
        <is>
          <t>T4-CP-003</t>
        </is>
      </c>
      <c r="B8" s="19" t="inlineStr">
        <is>
          <t>Quick Start</t>
        </is>
      </c>
      <c r="C8" s="19" t="inlineStr">
        <is>
          <t>Complete the basic bidding flow and save a Current Bid condition</t>
        </is>
      </c>
      <c r="D8" s="19" t="inlineStr">
        <is>
          <t>1. Open Dashboard and confirm the active bid period and calendar month.
2. Open Bid; under ADD BID PROPERTIES select DAYS OFF.
3. Select a property, complete its required fields, and choose one or more T1-T7 buttons.
4. Select ADD BID and keep the dialog open while the button shows the pending state.
5. Confirm the new condition appears under EXISTING BID PROPERTIES.</t>
        </is>
      </c>
      <c r="E8" s="19" t="inlineStr">
        <is>
          <t>A saved row appears in EXISTING BID PROPERTIES with its category badge, condition summary, and Tier tags, confirming the condition is part of the Current Bid.</t>
        </is>
      </c>
      <c r="F8" s="18" t="inlineStr">
        <is>
          <t>High</t>
        </is>
      </c>
      <c r="G8" s="18" t="inlineStr">
        <is>
          <t>Not Tested</t>
        </is>
      </c>
      <c r="H8" s="19" t="inlineStr"/>
      <c r="I8" s="18" t="inlineStr"/>
      <c r="J8" s="19" t="inlineStr"/>
      <c r="K8" s="19" t="inlineStr">
        <is>
          <t>Quick Start › Complete a Bid</t>
        </is>
      </c>
    </row>
    <row r="9">
      <c r="A9" s="20" t="inlineStr">
        <is>
          <t>T4-CP-004</t>
        </is>
      </c>
      <c r="B9" s="21" t="inlineStr">
        <is>
          <t>Quick Start</t>
        </is>
      </c>
      <c r="C9" s="21" t="inlineStr">
        <is>
          <t>View the published Award at the end of the bidding flow</t>
        </is>
      </c>
      <c r="D9" s="21" t="inlineStr">
        <is>
          <t>1. Open Award after results are published.
2. Review the awarded roster and the duty blocks on the calendar.
3. Select a duty to review its details.</t>
        </is>
      </c>
      <c r="E9" s="21" t="inlineStr">
        <is>
          <t>Award shows the published roster and duty details for the period; the crew understands an Award is a result view produced only after publication, not immediately when a bid is saved.</t>
        </is>
      </c>
      <c r="F9" s="20" t="inlineStr">
        <is>
          <t>Medium</t>
        </is>
      </c>
      <c r="G9" s="20" t="inlineStr">
        <is>
          <t>Not Tested</t>
        </is>
      </c>
      <c r="H9" s="21" t="inlineStr"/>
      <c r="I9" s="20" t="inlineStr"/>
      <c r="J9" s="21" t="inlineStr"/>
      <c r="K9" s="21" t="inlineStr">
        <is>
          <t>Quick Start › Complete a Bid</t>
        </is>
      </c>
    </row>
    <row r="10" ht="18" customHeight="1">
      <c r="A10" s="16" t="inlineStr">
        <is>
          <t>▸ Dashboard</t>
        </is>
      </c>
      <c r="B10" s="17" t="n"/>
      <c r="C10" s="17" t="n"/>
      <c r="D10" s="17" t="n"/>
      <c r="E10" s="17" t="n"/>
      <c r="F10" s="17" t="n"/>
      <c r="G10" s="17" t="n"/>
      <c r="H10" s="17" t="n"/>
      <c r="I10" s="17" t="n"/>
      <c r="J10" s="17" t="n"/>
      <c r="K10" s="17" t="n"/>
    </row>
    <row r="11">
      <c r="A11" s="20" t="inlineStr">
        <is>
          <t>T4-CP-005</t>
        </is>
      </c>
      <c r="B11" s="21" t="inlineStr">
        <is>
          <t>Dashboard</t>
        </is>
      </c>
      <c r="C11" s="21" t="inlineStr">
        <is>
          <t>Dashboard shows active bid-period context</t>
        </is>
      </c>
      <c r="D11" s="21" t="inlineStr">
        <is>
          <t>1. Open Dashboard.
2. Confirm identity/contact in the left panel.
3. Read BID INFORMATION-LOCAL TIME (BID START, BID END, REMAINING).
4. Confirm the month in BIDDING CALENDAR and review MESSAGE CENTER pre-assigned duties.</t>
        </is>
      </c>
      <c r="E11" s="21" t="inlineStr">
        <is>
          <t>Dashboard displays profile, bid window with start/end/remaining, current calendar month, and the MESSAGE CENTER pre-assigned duties panel; no fleet or sub-fleet pool counts are shown.</t>
        </is>
      </c>
      <c r="F11" s="20" t="inlineStr">
        <is>
          <t>Low</t>
        </is>
      </c>
      <c r="G11" s="20" t="inlineStr">
        <is>
          <t>Not Tested</t>
        </is>
      </c>
      <c r="H11" s="21" t="inlineStr"/>
      <c r="I11" s="20" t="inlineStr"/>
      <c r="J11" s="21" t="inlineStr"/>
      <c r="K11" s="21" t="inlineStr">
        <is>
          <t>Dashboard › Overview</t>
        </is>
      </c>
    </row>
    <row r="12">
      <c r="A12" s="18" t="inlineStr">
        <is>
          <t>T4-CP-006</t>
        </is>
      </c>
      <c r="B12" s="19" t="inlineStr">
        <is>
          <t>Dashboard</t>
        </is>
      </c>
      <c r="C12" s="19" t="inlineStr">
        <is>
          <t>Verify crew identity and USER INFORMATION fields</t>
        </is>
      </c>
      <c r="D12" s="19" t="inlineStr">
        <is>
          <t>1. Open Dashboard and read the avatar, name, and email at the top of the left panel.
2. In BID INFORMATION-LOCAL TIME confirm the bid window; in REMAINING confirm the coarse time left.
3. In USER INFORMATION read BASE, FLEET, POSITION, SENIORITY, LANGUAGE, EXISTING CREDIT, TRAINING MONTH, and LAST LOGIN.</t>
        </is>
      </c>
      <c r="E12" s="19" t="inlineStr">
        <is>
          <t>The active user is confirmed as the expected crew member; USER INFORMATION shows all profile fields (a dash where no value returned); the panel is read-only and REMAINING shows days/hours only, or Closed for a closed window.</t>
        </is>
      </c>
      <c r="F12" s="18" t="inlineStr">
        <is>
          <t>Low</t>
        </is>
      </c>
      <c r="G12" s="18" t="inlineStr">
        <is>
          <t>Not Tested</t>
        </is>
      </c>
      <c r="H12" s="19" t="inlineStr"/>
      <c r="I12" s="18" t="inlineStr"/>
      <c r="J12" s="19" t="inlineStr"/>
      <c r="K12" s="19" t="inlineStr">
        <is>
          <t>Dashboard › User and bid information</t>
        </is>
      </c>
    </row>
    <row r="13">
      <c r="A13" s="20" t="inlineStr">
        <is>
          <t>T4-CP-007</t>
        </is>
      </c>
      <c r="B13" s="21" t="inlineStr">
        <is>
          <t>Dashboard</t>
        </is>
      </c>
      <c r="C13" s="21" t="inlineStr">
        <is>
          <t>Read BIDDING CALENDAR tiers, activity colors, and Days Off capacity badge</t>
        </is>
      </c>
      <c r="D13" s="21" t="inlineStr">
        <is>
          <t>1. Confirm the month label and weekday headings above the grid.
2. Read the T1-T7 rows and identify the highlighted active Tier.
3. Review colored entries in date cells (green Days Off/Prefer Off, blue Pairing, yellow warning).
4. Read the Days Off capacity badge at the bottom of a date cell, such as 23/33.</t>
        </is>
      </c>
      <c r="E13" s="21" t="inlineStr">
        <is>
          <t>The calendar shows the active-Tier highlight, color-coded saved activity, and a requested/max capacity badge that is green when requested is below max, yellow when equal, and red when above max.</t>
        </is>
      </c>
      <c r="F13" s="20" t="inlineStr">
        <is>
          <t>Medium</t>
        </is>
      </c>
      <c r="G13" s="20" t="inlineStr">
        <is>
          <t>Not Tested</t>
        </is>
      </c>
      <c r="H13" s="21" t="inlineStr"/>
      <c r="I13" s="20" t="inlineStr"/>
      <c r="J13" s="21" t="inlineStr"/>
      <c r="K13" s="21" t="inlineStr">
        <is>
          <t>Dashboard › Read the bidding calendar</t>
        </is>
      </c>
    </row>
    <row r="14">
      <c r="A14" s="18" t="inlineStr">
        <is>
          <t>T4-CP-008</t>
        </is>
      </c>
      <c r="B14" s="19" t="inlineStr">
        <is>
          <t>Dashboard</t>
        </is>
      </c>
      <c r="C14" s="19" t="inlineStr">
        <is>
          <t>Read MESSAGE CENTER pre-assigned duty counts and details</t>
        </is>
      </c>
      <c r="D14" s="19" t="inlineStr">
        <is>
          <t>1. Open Dashboard and find MESSAGE CENTER on the right.
2. Read Pre-assigned Duties totals and Covered days.
3. Read the type rows (Pairing, Days Off, Reserve, Training, Deadhead, Unavailable, Other).
4. Scroll Duty Details and read a duty's label, date range, type tag, and time.</t>
        </is>
      </c>
      <c r="E14" s="19" t="inlineStr">
        <is>
          <t>MESSAGE CENTER shows total duties, covered days, per-type counts with matching calendar colors, and a scrollable Duty Details list; the panel is read-only and is shown independently of whether an Award has been published.</t>
        </is>
      </c>
      <c r="F14" s="18" t="inlineStr">
        <is>
          <t>Low</t>
        </is>
      </c>
      <c r="G14" s="18" t="inlineStr">
        <is>
          <t>Not Tested</t>
        </is>
      </c>
      <c r="H14" s="19" t="inlineStr"/>
      <c r="I14" s="18" t="inlineStr"/>
      <c r="J14" s="19" t="inlineStr"/>
      <c r="K14" s="19" t="inlineStr">
        <is>
          <t>Dashboard › Pre-assigned duties</t>
        </is>
      </c>
    </row>
    <row r="15" ht="18" customHeight="1">
      <c r="A15" s="16" t="inlineStr">
        <is>
          <t>▸ Bid</t>
        </is>
      </c>
      <c r="B15" s="17" t="n"/>
      <c r="C15" s="17" t="n"/>
      <c r="D15" s="17" t="n"/>
      <c r="E15" s="17" t="n"/>
      <c r="F15" s="17" t="n"/>
      <c r="G15" s="17" t="n"/>
      <c r="H15" s="17" t="n"/>
      <c r="I15" s="17" t="n"/>
      <c r="J15" s="17" t="n"/>
      <c r="K15" s="17" t="n"/>
    </row>
    <row r="16">
      <c r="A16" s="18" t="inlineStr">
        <is>
          <t>T4-CP-009</t>
        </is>
      </c>
      <c r="B16" s="19" t="inlineStr">
        <is>
          <t>Bid</t>
        </is>
      </c>
      <c r="C16" s="19" t="inlineStr">
        <is>
          <t>Bid workspace holds Days Off, Pairing, and Roster in one Existing list</t>
        </is>
      </c>
      <c r="D16" s="19" t="inlineStr">
        <is>
          <t>1. Open Bid.
2. Review EXISTING BID PROPERTIES and the Pairing toolbar (REFRESH, VIEW RULES, SEARCH PAIRINGS).
3. Open ADD BID PROPERTIES and confirm FAVORITED PROPERTIES, DAYS OFF, PAIRING, and ROSTER are available.
4. Type into Search Bid Properties.</t>
        </is>
      </c>
      <c r="E16" s="19" t="inlineStr">
        <is>
          <t>Bid shows one shared EXISTING BID PROPERTIES list for the active Tier, the Pairing toolbar actions, and the ADD BID PROPERTIES categories; Search Bid Properties filters the property list within the selected category.</t>
        </is>
      </c>
      <c r="F16" s="18" t="inlineStr">
        <is>
          <t>Low</t>
        </is>
      </c>
      <c r="G16" s="18" t="inlineStr">
        <is>
          <t>Not Tested</t>
        </is>
      </c>
      <c r="H16" s="19" t="inlineStr"/>
      <c r="I16" s="18" t="inlineStr"/>
      <c r="J16" s="19" t="inlineStr"/>
      <c r="K16" s="19" t="inlineStr">
        <is>
          <t>Bid › Overview</t>
        </is>
      </c>
    </row>
    <row r="17">
      <c r="A17" s="20" t="inlineStr">
        <is>
          <t>T4-CP-010</t>
        </is>
      </c>
      <c r="B17" s="21" t="inlineStr">
        <is>
          <t>Bid</t>
        </is>
      </c>
      <c r="C17" s="21" t="inlineStr">
        <is>
          <t>Select a Tier and read Days Off capacity in BIDDING CALENDAR</t>
        </is>
      </c>
      <c r="D17" s="21" t="inlineStr">
        <is>
          <t>1. In BIDDING CALENDAR read the Current period status (open + time remaining) and Month.
2. Select a T1-T7 tier to set the active Current Bid Tier.
3. Read a date cell Days Off capacity badge such as 23/33.
4. Note the badge color relative to the max.</t>
        </is>
      </c>
      <c r="E17" s="21" t="inlineStr">
        <is>
          <t>The selected tier becomes the active Current Bid context, the heatmap summarizes activity for that tier, and the capacity badge shows requested/max with green below max, yellow equal, red above max (guidance only, not an Award guarantee).</t>
        </is>
      </c>
      <c r="F17" s="20" t="inlineStr">
        <is>
          <t>Medium</t>
        </is>
      </c>
      <c r="G17" s="20" t="inlineStr">
        <is>
          <t>Not Tested</t>
        </is>
      </c>
      <c r="H17" s="21" t="inlineStr"/>
      <c r="I17" s="20" t="inlineStr"/>
      <c r="J17" s="21" t="inlineStr"/>
      <c r="K17" s="21" t="inlineStr">
        <is>
          <t>Bid › Use the bidding calendar</t>
        </is>
      </c>
    </row>
    <row r="18">
      <c r="A18" s="18" t="inlineStr">
        <is>
          <t>T4-CP-011</t>
        </is>
      </c>
      <c r="B18" s="19" t="inlineStr">
        <is>
          <t>Bid</t>
        </is>
      </c>
      <c r="C18" s="19" t="inlineStr">
        <is>
          <t>Request Days Off by weekday and collapse the calendar</t>
        </is>
      </c>
      <c r="D18" s="19" t="inlineStr">
        <is>
          <t>1. Select a T1-T7 tier.
2. Select a weekday heading to request Days Off on the matching dates in the displayed month.
3. Confirm the saved activity appears on those dates.
4. Use the left arrow to collapse the calendar, then the calendar button to expand it again.</t>
        </is>
      </c>
      <c r="E18" s="19" t="inlineStr">
        <is>
          <t>The weekday action creates Days Off requests on the matching dates and the calendar plus related Current Bid view refresh with the saved change; the collapse/expand choice is remembered in the browser.</t>
        </is>
      </c>
      <c r="F18" s="18" t="inlineStr">
        <is>
          <t>Medium</t>
        </is>
      </c>
      <c r="G18" s="18" t="inlineStr">
        <is>
          <t>Not Tested</t>
        </is>
      </c>
      <c r="H18" s="19" t="inlineStr"/>
      <c r="I18" s="18" t="inlineStr"/>
      <c r="J18" s="19" t="inlineStr"/>
      <c r="K18" s="19" t="inlineStr">
        <is>
          <t>Bid › Use the bidding calendar</t>
        </is>
      </c>
    </row>
    <row r="19">
      <c r="A19" s="20" t="inlineStr">
        <is>
          <t>T4-CP-012</t>
        </is>
      </c>
      <c r="B19" s="21" t="inlineStr">
        <is>
          <t>Bid</t>
        </is>
      </c>
      <c r="C19" s="21" t="inlineStr">
        <is>
          <t>Add a Days Off Current Bid condition from ADD BID PROPERTIES</t>
        </is>
      </c>
      <c r="D19" s="21" t="inlineStr">
        <is>
          <t>1. Open Bid and review EXISTING BID PROPERTIES for similar conditions.
2. Under ADD BID PROPERTIES select DAYS OFF.
3. Optionally filter with Search Bid Properties, then select the add button on a property row.
4. Complete every REQUIRED section and select one or more T1-T7 buttons.
5. Select ADD BID and wait for the save to finish.</t>
        </is>
      </c>
      <c r="E19" s="21" t="inlineStr">
        <is>
          <t>After the server confirms, a new Days Off row appears under EXISTING BID PROPERTIES with its category, summary, and Tier tags; if ADD BID stays unavailable, required fields or a missing Tier are the cause.</t>
        </is>
      </c>
      <c r="F19" s="20" t="inlineStr">
        <is>
          <t>High</t>
        </is>
      </c>
      <c r="G19" s="20" t="inlineStr">
        <is>
          <t>Not Tested</t>
        </is>
      </c>
      <c r="H19" s="21" t="inlineStr"/>
      <c r="I19" s="20" t="inlineStr"/>
      <c r="J19" s="21" t="inlineStr"/>
      <c r="K19" s="21" t="inlineStr">
        <is>
          <t>Bid › Add Bid properties</t>
        </is>
      </c>
    </row>
    <row r="20">
      <c r="A20" s="18" t="inlineStr">
        <is>
          <t>T4-CP-013</t>
        </is>
      </c>
      <c r="B20" s="19" t="inlineStr">
        <is>
          <t>Bid</t>
        </is>
      </c>
      <c r="C20" s="19" t="inlineStr">
        <is>
          <t>Add a Roster (Mixed Line Bid) condition</t>
        </is>
      </c>
      <c r="D20" s="19" t="inlineStr">
        <is>
          <t>1. Under ADD BID PROPERTIES select ROSTER.
2. Select Mixed Line Bid and open its Configure dialog.
3. Choose Reserve Only or Pairing Only (Mixed Line is the default and saves no 427 bid).
4. Select at least one T1-T7 and select ADD BID.</t>
        </is>
      </c>
      <c r="E20" s="19" t="inlineStr">
        <is>
          <t>A Reserve Only or Pairing Only roster condition is saved under EXISTING BID PROPERTIES; choosing the default Mixed Line saves no 427 bid.</t>
        </is>
      </c>
      <c r="F20" s="18" t="inlineStr">
        <is>
          <t>High</t>
        </is>
      </c>
      <c r="G20" s="18" t="inlineStr">
        <is>
          <t>Not Tested</t>
        </is>
      </c>
      <c r="H20" s="19" t="inlineStr"/>
      <c r="I20" s="18" t="inlineStr"/>
      <c r="J20" s="19" t="inlineStr"/>
      <c r="K20" s="19" t="inlineStr">
        <is>
          <t>Bid › Add Bid properties</t>
        </is>
      </c>
    </row>
    <row r="21">
      <c r="A21" s="20" t="inlineStr">
        <is>
          <t>T4-CP-014</t>
        </is>
      </c>
      <c r="B21" s="21" t="inlineStr">
        <is>
          <t>Bid</t>
        </is>
      </c>
      <c r="C21" s="21" t="inlineStr">
        <is>
          <t>Configure Pairing Preference by searching and selecting pairing rows</t>
        </is>
      </c>
      <c r="D21" s="21" t="inlineStr">
        <is>
          <t>1. From ADD PAIRING PROPERTIES select Pairing Preference to open Configure Pairing Bid.
2. Select the active TIERS (at least one).
3. Choose MODE (Award or Avoid) and QUANTIFIER (Any or Every) when shown.
4. Use the search box to narrow the pairing list by pairing number, base, route, or rank text.
5. Select one or more pairing rows and confirm the selected count/chips.
6. Select ADD BID.</t>
        </is>
      </c>
      <c r="E21" s="21" t="inlineStr">
        <is>
          <t>ADD BID stays disabled until at least one pairing row is selected; after saving, a Pairing Preference row appears in EXISTING PAIRING PROPERTIES reflecting the selected pairings, mode, and tiers.</t>
        </is>
      </c>
      <c r="F21" s="20" t="inlineStr">
        <is>
          <t>High</t>
        </is>
      </c>
      <c r="G21" s="20" t="inlineStr">
        <is>
          <t>Not Tested</t>
        </is>
      </c>
      <c r="H21" s="21" t="inlineStr"/>
      <c r="I21" s="20" t="inlineStr"/>
      <c r="J21" s="21" t="inlineStr"/>
      <c r="K21" s="21" t="inlineStr">
        <is>
          <t>Bid › Configure Pairing Preference</t>
        </is>
      </c>
    </row>
    <row r="22">
      <c r="A22" s="18" t="inlineStr">
        <is>
          <t>T4-CP-015</t>
        </is>
      </c>
      <c r="B22" s="19" t="inlineStr">
        <is>
          <t>Bid</t>
        </is>
      </c>
      <c r="C22" s="19" t="inlineStr">
        <is>
          <t>Narrow the pairing list with Pairing Filters before saving</t>
        </is>
      </c>
      <c r="D22" s="19" t="inlineStr">
        <is>
          <t>1. In the pairing list click Filters to open Pairing Filters.
2. Set conditions such as Pairing start dates, Check-in/Check-out, Length, Route station, Credit, or Redeye/DHD.
3. Click Apply Filters.
4. Select the matching pairing rows, then click ADD BID.</t>
        </is>
      </c>
      <c r="E22" s="19" t="inlineStr">
        <is>
          <t>Pairing Filters narrow the selectable list only (they do not save a bid); the saved bid comes from the selected rows, and Clear All resets filter fields without saving.</t>
        </is>
      </c>
      <c r="F22" s="18" t="inlineStr">
        <is>
          <t>High</t>
        </is>
      </c>
      <c r="G22" s="18" t="inlineStr">
        <is>
          <t>Not Tested</t>
        </is>
      </c>
      <c r="H22" s="19" t="inlineStr"/>
      <c r="I22" s="18" t="inlineStr"/>
      <c r="J22" s="19" t="inlineStr"/>
      <c r="K22" s="19" t="inlineStr">
        <is>
          <t>Bid › Configure Pairing Preference</t>
        </is>
      </c>
    </row>
    <row r="23">
      <c r="A23" s="20" t="inlineStr">
        <is>
          <t>T4-CP-016</t>
        </is>
      </c>
      <c r="B23" s="21" t="inlineStr">
        <is>
          <t>Bid</t>
        </is>
      </c>
      <c r="C23" s="21" t="inlineStr">
        <is>
          <t>Preview, edit, and delete a saved Current Bid condition</t>
        </is>
      </c>
      <c r="D23" s="21" t="inlineStr">
        <is>
          <t>1. Set the active Tier in BIDDING CALENDAR to match the condition.
2. Read the category badge, summary, and Tier tags in EXISTING BID PROPERTIES.
3. Select PREVIEW on a supported Pairing row to see matching evidence.
4. Select EDIT, change required fields or Tier selection, and select UPDATE BID.
5. Use the delete button and confirm the row no longer appears.</t>
        </is>
      </c>
      <c r="E23" s="21" t="inlineStr">
        <is>
          <t>The Existing list and summary refresh after a successful update or delete; a condition assigned only to another Tier is absent from the current Tier view (change the active Tier before deciding it is missing).</t>
        </is>
      </c>
      <c r="F23" s="20" t="inlineStr">
        <is>
          <t>High</t>
        </is>
      </c>
      <c r="G23" s="20" t="inlineStr">
        <is>
          <t>Not Tested</t>
        </is>
      </c>
      <c r="H23" s="21" t="inlineStr"/>
      <c r="I23" s="20" t="inlineStr"/>
      <c r="J23" s="21" t="inlineStr"/>
      <c r="K23" s="21" t="inlineStr">
        <is>
          <t>Bid › Review, edit, and delete</t>
        </is>
      </c>
    </row>
    <row r="24">
      <c r="A24" s="18" t="inlineStr">
        <is>
          <t>T4-CP-017</t>
        </is>
      </c>
      <c r="B24" s="19" t="inlineStr">
        <is>
          <t>Bid</t>
        </is>
      </c>
      <c r="C24" s="19" t="inlineStr">
        <is>
          <t>Reuse a Favorite and search matching pairings</t>
        </is>
      </c>
      <c r="D24" s="19" t="inlineStr">
        <is>
          <t>1. Open FAVORITED PROPERTIES under ADD BID PROPERTIES.
2. Select a Favorite, review its condition, and choose one or more SELECT TX buttons.
3. Select ADD TO BID and confirm the new row under EXISTING BID PROPERTIES.
4. Select VIEW RULES to review active rules, or SEARCH PAIRINGS to search with current rules (ALL PAIRINGS to browse unfiltered).</t>
        </is>
      </c>
      <c r="E24" s="19" t="inlineStr">
        <is>
          <t>Adding a Favorite creates a new Existing Bid row with the chosen tiers; SEARCH PAIRINGS returns pairings matching the active rules; updating a Favorite changes only the template, not previously created Existing rows.</t>
        </is>
      </c>
      <c r="F24" s="18" t="inlineStr">
        <is>
          <t>Medium</t>
        </is>
      </c>
      <c r="G24" s="18" t="inlineStr">
        <is>
          <t>Not Tested</t>
        </is>
      </c>
      <c r="H24" s="19" t="inlineStr"/>
      <c r="I24" s="18" t="inlineStr"/>
      <c r="J24" s="19" t="inlineStr"/>
      <c r="K24" s="19" t="inlineStr">
        <is>
          <t>Bid › Favorites and Search Pairings</t>
        </is>
      </c>
    </row>
    <row r="25" ht="18" customHeight="1">
      <c r="A25" s="16" t="inlineStr">
        <is>
          <t>▸ Reserve</t>
        </is>
      </c>
      <c r="B25" s="17" t="n"/>
      <c r="C25" s="17" t="n"/>
      <c r="D25" s="17" t="n"/>
      <c r="E25" s="17" t="n"/>
      <c r="F25" s="17" t="n"/>
      <c r="G25" s="17" t="n"/>
      <c r="H25" s="17" t="n"/>
      <c r="I25" s="17" t="n"/>
      <c r="J25" s="17" t="n"/>
      <c r="K25" s="17" t="n"/>
    </row>
    <row r="26">
      <c r="A26" s="18" t="inlineStr">
        <is>
          <t>T4-CP-018</t>
        </is>
      </c>
      <c r="B26" s="19" t="inlineStr">
        <is>
          <t>Reserve</t>
        </is>
      </c>
      <c r="C26" s="19" t="inlineStr">
        <is>
          <t>Reserve page combines Reserve Preference with the coverage calendar</t>
        </is>
      </c>
      <c r="D26" s="19" t="inlineStr">
        <is>
          <t>1. Open Reserve.
2. Locate ADD RESERVE PREFERENCE, RESERVE COVERAGE, and EXISTING RESERVE PROPERTIES.
3. Read the Need and Off values on a coverage date.</t>
        </is>
      </c>
      <c r="E26" s="19" t="inlineStr">
        <is>
          <t>Reserve shows RESERVE PREFERENCE as the only Current Reserve condition, the coverage calendar with per-date Need/Off, and the EXISTING RESERVE PROPERTIES list with tier assignments; reusable reserve conditions are maintained separately in Standing Bid.</t>
        </is>
      </c>
      <c r="F26" s="18" t="inlineStr">
        <is>
          <t>Low</t>
        </is>
      </c>
      <c r="G26" s="18" t="inlineStr">
        <is>
          <t>Not Tested</t>
        </is>
      </c>
      <c r="H26" s="19" t="inlineStr"/>
      <c r="I26" s="18" t="inlineStr"/>
      <c r="J26" s="19" t="inlineStr"/>
      <c r="K26" s="19" t="inlineStr">
        <is>
          <t>Reserve › Overview</t>
        </is>
      </c>
    </row>
    <row r="27">
      <c r="A27" s="20" t="inlineStr">
        <is>
          <t>T4-CP-019</t>
        </is>
      </c>
      <c r="B27" s="21" t="inlineStr">
        <is>
          <t>Reserve</t>
        </is>
      </c>
      <c r="C27" s="21" t="inlineStr">
        <is>
          <t>Add a Reserve Preference with short-call type, date scope, and tiers</t>
        </is>
      </c>
      <c r="D27" s="21" t="inlineStr">
        <is>
          <t>1. Open Reserve and review RESERVE COVERAGE.
2. Select ADD RESERVE PREFERENCE.
3. In Configure Reserve Preference choose SHORT-CALL TYPE (e.g. PRAM).
4. Choose DATE SCOPE and complete any required date fields.
5. Select one or more T1-T7 under APPLY TO TIERS and select ADD BID.</t>
        </is>
      </c>
      <c r="E27" s="21" t="inlineStr">
        <is>
          <t>A saved row appears under EXISTING RESERVE PROPERTIES with the selected short-call type, date scope, and tier assignment; if ADD BID is unavailable, SHORT-CALL TYPE, DATE SCOPE, or APPLY TO TIERS is incomplete.</t>
        </is>
      </c>
      <c r="F27" s="20" t="inlineStr">
        <is>
          <t>High</t>
        </is>
      </c>
      <c r="G27" s="20" t="inlineStr">
        <is>
          <t>Not Tested</t>
        </is>
      </c>
      <c r="H27" s="21" t="inlineStr"/>
      <c r="I27" s="20" t="inlineStr"/>
      <c r="J27" s="21" t="inlineStr"/>
      <c r="K27" s="21" t="inlineStr">
        <is>
          <t>Reserve › Add and manage Reserve Preference</t>
        </is>
      </c>
    </row>
    <row r="28">
      <c r="A28" s="18" t="inlineStr">
        <is>
          <t>T4-CP-020</t>
        </is>
      </c>
      <c r="B28" s="19" t="inlineStr">
        <is>
          <t>Reserve</t>
        </is>
      </c>
      <c r="C28" s="19" t="inlineStr">
        <is>
          <t>Edit and delete an existing Reserve Preference row</t>
        </is>
      </c>
      <c r="D28" s="19" t="inlineStr">
        <is>
          <t>1. In EXISTING RESERVE PROPERTIES locate the row.
2. Use its edit action, change the short-call type, date scope, or tiers, and confirm.
3. Use the delete action on a row and wait for the save to finish.</t>
        </is>
      </c>
      <c r="E28" s="19" t="inlineStr">
        <is>
          <t>The edited row reflects the updated short-call type/date scope/tiers, and the deleted row is removed from EXISTING RESERVE PROPERTIES after the draft updates.</t>
        </is>
      </c>
      <c r="F28" s="18" t="inlineStr">
        <is>
          <t>High</t>
        </is>
      </c>
      <c r="G28" s="18" t="inlineStr">
        <is>
          <t>Not Tested</t>
        </is>
      </c>
      <c r="H28" s="19" t="inlineStr"/>
      <c r="I28" s="18" t="inlineStr"/>
      <c r="J28" s="19" t="inlineStr"/>
      <c r="K28" s="19" t="inlineStr">
        <is>
          <t>Reserve › Add and manage Reserve Preference</t>
        </is>
      </c>
    </row>
    <row r="29">
      <c r="A29" s="20" t="inlineStr">
        <is>
          <t>T4-CP-021</t>
        </is>
      </c>
      <c r="B29" s="21" t="inlineStr">
        <is>
          <t>Reserve</t>
        </is>
      </c>
      <c r="C29" s="21" t="inlineStr">
        <is>
          <t>Duplicate Reserve Preference combination is warned, not duplicated</t>
        </is>
      </c>
      <c r="D29" s="21" t="inlineStr">
        <is>
          <t>1. Select ADD RESERVE PREFERENCE.
2. Choose the same SHORT-CALL TYPE, DATE SCOPE, and APPLY TO TIERS as an existing row.
3. Select ADD BID.</t>
        </is>
      </c>
      <c r="E29" s="21" t="inlineStr">
        <is>
          <t>The Portal shows a duplicate warning instead of creating a second identical row; EXISTING RESERVE PROPERTIES still contains only the original row.</t>
        </is>
      </c>
      <c r="F29" s="20" t="inlineStr">
        <is>
          <t>High</t>
        </is>
      </c>
      <c r="G29" s="20" t="inlineStr">
        <is>
          <t>Not Tested</t>
        </is>
      </c>
      <c r="H29" s="21" t="inlineStr"/>
      <c r="I29" s="20" t="inlineStr"/>
      <c r="J29" s="21" t="inlineStr"/>
      <c r="K29" s="21" t="inlineStr">
        <is>
          <t>Reserve › Add Reserve Preference (duplicate guard)</t>
        </is>
      </c>
    </row>
    <row r="30">
      <c r="A30" s="18" t="inlineStr">
        <is>
          <t>T4-CP-022</t>
        </is>
      </c>
      <c r="B30" s="19" t="inlineStr">
        <is>
          <t>Reserve</t>
        </is>
      </c>
      <c r="C30" s="19" t="inlineStr">
        <is>
          <t>Open Configure Reserve Preference from a coverage date</t>
        </is>
      </c>
      <c r="D30" s="19" t="inlineStr">
        <is>
          <t>1. Review RESERVE COVERAGE and read a date's Need and Off counts.
2. Click a date cell to open Configure Reserve Preference with that date prefilled under Specific Dates.
3. Select T1-T7 under APPLY TO TIERS, review SHORT-CALL TYPE, and click ADD BID.</t>
        </is>
      </c>
      <c r="E30" s="19" t="inlineStr">
        <is>
          <t>The clicked date opens Reserve Preference (not Reserve Day On or Prefer Off) with the date under Specific Dates; the bid saves only after tiers are chosen and ADD BID confirmed, then appears in existing reserve properties.</t>
        </is>
      </c>
      <c r="F30" s="18" t="inlineStr">
        <is>
          <t>Medium</t>
        </is>
      </c>
      <c r="G30" s="18" t="inlineStr">
        <is>
          <t>Not Tested</t>
        </is>
      </c>
      <c r="H30" s="19" t="inlineStr"/>
      <c r="I30" s="18" t="inlineStr"/>
      <c r="J30" s="19" t="inlineStr"/>
      <c r="K30" s="19" t="inlineStr">
        <is>
          <t>Reserve › Reserve coverage calendar</t>
        </is>
      </c>
    </row>
    <row r="31">
      <c r="A31" s="20" t="inlineStr">
        <is>
          <t>T4-CP-023</t>
        </is>
      </c>
      <c r="B31" s="21" t="inlineStr">
        <is>
          <t>Reserve</t>
        </is>
      </c>
      <c r="C31" s="21" t="inlineStr">
        <is>
          <t>Current Reserve exposes only Reserve Preference, no mode switch</t>
        </is>
      </c>
      <c r="D31" s="21" t="inlineStr">
        <is>
          <t>1. Open the Reserve page.
2. Confirm there is no Reserve mode switch (Legacy Reserve / AA Prefer Off are not shown).
3. Use ADD RESERVE PREFERENCE or click a coverage date, then configure short-call type, tiers, and date scope.</t>
        </is>
      </c>
      <c r="E31" s="21" t="inlineStr">
        <is>
          <t>Current Reserve always saves Reserve Preference rows with no employee-facing mode selector; reserve avoidance is handled from Line via Reserve Avoidance, not this page.</t>
        </is>
      </c>
      <c r="F31" s="20" t="inlineStr">
        <is>
          <t>Low</t>
        </is>
      </c>
      <c r="G31" s="20" t="inlineStr">
        <is>
          <t>Not Tested</t>
        </is>
      </c>
      <c r="H31" s="21" t="inlineStr"/>
      <c r="I31" s="20" t="inlineStr"/>
      <c r="J31" s="21" t="inlineStr"/>
      <c r="K31" s="21" t="inlineStr">
        <is>
          <t>Reserve › Current Reserve workflow</t>
        </is>
      </c>
    </row>
    <row r="32">
      <c r="A32" s="18" t="inlineStr">
        <is>
          <t>T4-CP-024</t>
        </is>
      </c>
      <c r="B32" s="19" t="inlineStr">
        <is>
          <t>Reserve</t>
        </is>
      </c>
      <c r="C32" s="19" t="inlineStr">
        <is>
          <t>Configure Reserve Preference date-scope options</t>
        </is>
      </c>
      <c r="D32" s="19" t="inlineStr">
        <is>
          <t>1. Click ADD RESERVE PREFERENCE and choose SHORT-CALL TYPE.
2. Under APPLY TO TIERS select one or more T1-T7 checkboxes.
3. Under DATE SCOPE choose Whole Month, First Half, Second Half, Date Range, or Specific Dates.
4. For Date Range set from/to dates (end same or later than start); for Specific Dates use the date input and ADD DATE.
5. Click ADD BID.</t>
        </is>
      </c>
      <c r="E32" s="19" t="inlineStr">
        <is>
          <t>The Reserve Preference row is added with the chosen date scope attached to the short-call type; Current Reserve allows exact ranges/specific dates while Standing Reserve allows only Whole Month/First Half/Second Half.</t>
        </is>
      </c>
      <c r="F32" s="18" t="inlineStr">
        <is>
          <t>High</t>
        </is>
      </c>
      <c r="G32" s="18" t="inlineStr">
        <is>
          <t>Not Tested</t>
        </is>
      </c>
      <c r="H32" s="19" t="inlineStr"/>
      <c r="I32" s="18" t="inlineStr"/>
      <c r="J32" s="19" t="inlineStr"/>
      <c r="K32" s="19" t="inlineStr">
        <is>
          <t>Reserve › Configure short-call type and date scope</t>
        </is>
      </c>
    </row>
    <row r="33" ht="18" customHeight="1">
      <c r="A33" s="16" t="inlineStr">
        <is>
          <t>▸ Days Off</t>
        </is>
      </c>
      <c r="B33" s="17" t="n"/>
      <c r="C33" s="17" t="n"/>
      <c r="D33" s="17" t="n"/>
      <c r="E33" s="17" t="n"/>
      <c r="F33" s="17" t="n"/>
      <c r="G33" s="17" t="n"/>
      <c r="H33" s="17" t="n"/>
      <c r="I33" s="17" t="n"/>
      <c r="J33" s="17" t="n"/>
      <c r="K33" s="17" t="n"/>
    </row>
    <row r="34">
      <c r="A34" s="18" t="inlineStr">
        <is>
          <t>T4-CP-025</t>
        </is>
      </c>
      <c r="B34" s="19" t="inlineStr">
        <is>
          <t>Days Off</t>
        </is>
      </c>
      <c r="C34" s="19" t="inlineStr">
        <is>
          <t>Days Off page shows existing and addable properties</t>
        </is>
      </c>
      <c r="D34" s="19" t="inlineStr">
        <is>
          <t>1. Open Days Off from the top navigation.
2. Review EXISTING DAYS OFF PROPERTIES (PROPERTY, BID, TIERS columns).
3. Open ADD DAYS OFF PROPERTIES and confirm ALL PROPERTIES, FAVORITED PROPERTIES, and Search Properties.</t>
        </is>
      </c>
      <c r="E34" s="19" t="inlineStr">
        <is>
          <t>Days Off shows the existing saved rows with PROPERTY/BID/TIERS columns and the ADD DAYS OFF PROPERTIES catalog with tabs and search; add/update/delete actions call the Days Off draft service and refresh the calendar and Bid review.</t>
        </is>
      </c>
      <c r="F34" s="18" t="inlineStr">
        <is>
          <t>Low</t>
        </is>
      </c>
      <c r="G34" s="18" t="inlineStr">
        <is>
          <t>Not Tested</t>
        </is>
      </c>
      <c r="H34" s="19" t="inlineStr"/>
      <c r="I34" s="18" t="inlineStr"/>
      <c r="J34" s="19" t="inlineStr"/>
      <c r="K34" s="19" t="inlineStr">
        <is>
          <t>Days Off › Overview</t>
        </is>
      </c>
    </row>
    <row r="35">
      <c r="A35" s="20" t="inlineStr">
        <is>
          <t>T4-CP-026</t>
        </is>
      </c>
      <c r="B35" s="21" t="inlineStr">
        <is>
          <t>Days Off</t>
        </is>
      </c>
      <c r="C35" s="21" t="inlineStr">
        <is>
          <t>Add a specific-date Days Off bid from the right panel</t>
        </is>
      </c>
      <c r="D35" s="21" t="inlineStr">
        <is>
          <t>1. Open Days Off and keep ALL PROPERTIES selected in ADD DAYS OFF PROPERTIES.
2. Optionally type into Search Properties to filter by property name.
3. Click the add action beside a date-based property to open Configure Days Off Bid.
4. Select at least one tier under TIERS, add a date via DATES/ADD DATE, then click ADD BID.</t>
        </is>
      </c>
      <c r="E35" s="21" t="inlineStr">
        <is>
          <t>The new row appears in EXISTING DAYS OFF PROPERTIES immediately after the draft service saves it; the related calendar and Bid review data refresh.</t>
        </is>
      </c>
      <c r="F35" s="20" t="inlineStr">
        <is>
          <t>High</t>
        </is>
      </c>
      <c r="G35" s="20" t="inlineStr">
        <is>
          <t>Not Tested</t>
        </is>
      </c>
      <c r="H35" s="21" t="inlineStr"/>
      <c r="I35" s="20" t="inlineStr"/>
      <c r="J35" s="21" t="inlineStr"/>
      <c r="K35" s="21" t="inlineStr">
        <is>
          <t>Days Off › Add Days Off properties</t>
        </is>
      </c>
    </row>
    <row r="36">
      <c r="A36" s="18" t="inlineStr">
        <is>
          <t>T4-CP-027</t>
        </is>
      </c>
      <c r="B36" s="19" t="inlineStr">
        <is>
          <t>Days Off</t>
        </is>
      </c>
      <c r="C36" s="19" t="inlineStr">
        <is>
          <t>Add a Days Off bid using DAYS OF WEEK or DATE RANGE</t>
        </is>
      </c>
      <c r="D36" s="19" t="inlineStr">
        <is>
          <t>1. Open Configure Days Off Bid for a property.
2. Select at least one tier under TIERS.
3. Choose DAYS OF WEEK for recurring weekday preferences, or DATE RANGE for a continuous range (end date same or later than start).
4. Click ADD BID.</t>
        </is>
      </c>
      <c r="E36" s="19" t="inlineStr">
        <is>
          <t>ADD BID saves only with a valid tier and a valid date/weekday/date range; an invalid range (end before start) is rejected, and the saved recurring or range bid appears in EXISTING DAYS OFF PROPERTIES.</t>
        </is>
      </c>
      <c r="F36" s="18" t="inlineStr">
        <is>
          <t>High</t>
        </is>
      </c>
      <c r="G36" s="18" t="inlineStr">
        <is>
          <t>Not Tested</t>
        </is>
      </c>
      <c r="H36" s="19" t="inlineStr"/>
      <c r="I36" s="18" t="inlineStr"/>
      <c r="J36" s="19" t="inlineStr"/>
      <c r="K36" s="19" t="inlineStr">
        <is>
          <t>Days Off › Add Days Off properties</t>
        </is>
      </c>
    </row>
    <row r="37">
      <c r="A37" s="20" t="inlineStr">
        <is>
          <t>T4-CP-028</t>
        </is>
      </c>
      <c r="B37" s="21" t="inlineStr">
        <is>
          <t>Days Off</t>
        </is>
      </c>
      <c r="C37" s="21" t="inlineStr">
        <is>
          <t>Verify tier context and capacity before adding a Days Off bid</t>
        </is>
      </c>
      <c r="D37" s="21" t="inlineStr">
        <is>
          <t>1. Select the T1-T7 tier context to work with.
2. Use the Dashboard or shared calendar to review existing days-off and pairing activity.
3. Read the requested/max capacity badge such as 23/33 for a target date.
4. Save a Days Off action, then verify EXISTING DAYS OFF PROPERTIES shows the expected TIERS.</t>
        </is>
      </c>
      <c r="E37" s="21" t="inlineStr">
        <is>
          <t>The saved row carries the active tier; the capacity badge (green below max, yellow equal, red above max) reflects crew request counts (same crew counted once per date across tiers) and is a planning signal, not an Award guarantee.</t>
        </is>
      </c>
      <c r="F37" s="20" t="inlineStr">
        <is>
          <t>Medium</t>
        </is>
      </c>
      <c r="G37" s="20" t="inlineStr">
        <is>
          <t>Not Tested</t>
        </is>
      </c>
      <c r="H37" s="21" t="inlineStr"/>
      <c r="I37" s="20" t="inlineStr"/>
      <c r="J37" s="21" t="inlineStr"/>
      <c r="K37" s="21" t="inlineStr">
        <is>
          <t>Days Off › Calendar and tier context</t>
        </is>
      </c>
    </row>
    <row r="38">
      <c r="A38" s="18" t="inlineStr">
        <is>
          <t>T4-CP-029</t>
        </is>
      </c>
      <c r="B38" s="19" t="inlineStr">
        <is>
          <t>Days Off</t>
        </is>
      </c>
      <c r="C38" s="19" t="inlineStr">
        <is>
          <t>Edit and delete an existing Days Off row</t>
        </is>
      </c>
      <c r="D38" s="19" t="inlineStr">
        <is>
          <t>1. Find the row in EXISTING DAYS OFF PROPERTIES and read PROPERTY, BID, and TIERS.
2. Click the edit action to reopen Configure Days Off Bid with saved values.
3. Change dates, days, time window, modifiers, or tiers and click UPDATE BID.
4. On another row click the delete action and wait for the save to finish.</t>
        </is>
      </c>
      <c r="E38" s="19" t="inlineStr">
        <is>
          <t>The edited row updates in place and the deleted row disappears from EXISTING DAYS OFF PROPERTIES; the bidding calendar and Bid review refresh, and any save conflict prompts a draft reload.</t>
        </is>
      </c>
      <c r="F38" s="18" t="inlineStr">
        <is>
          <t>High</t>
        </is>
      </c>
      <c r="G38" s="18" t="inlineStr">
        <is>
          <t>Not Tested</t>
        </is>
      </c>
      <c r="H38" s="19" t="inlineStr"/>
      <c r="I38" s="18" t="inlineStr"/>
      <c r="J38" s="19" t="inlineStr"/>
      <c r="K38" s="19" t="inlineStr">
        <is>
          <t>Days Off › Review, edit, and delete</t>
        </is>
      </c>
    </row>
    <row r="39">
      <c r="A39" s="20" t="inlineStr">
        <is>
          <t>T4-CP-030</t>
        </is>
      </c>
      <c r="B39" s="21" t="inlineStr">
        <is>
          <t>Days Off</t>
        </is>
      </c>
      <c r="C39" s="21" t="inlineStr">
        <is>
          <t>Save and reuse a Days Off favorite template</t>
        </is>
      </c>
      <c r="D39" s="21" t="inlineStr">
        <is>
          <t>1. Add/edit a Days Off property until the dialog has the dates, days, time window, modifiers, and tiers to reuse.
2. Click SAVE FAVORITE.
3. Open FAVORITED PROPERTIES in ADD DAYS OFF PROPERTIES.
4. Click the add action on the favorite row.</t>
        </is>
      </c>
      <c r="E39" s="21" t="inlineStr">
        <is>
          <t>The favorite is stored as a reusable template and adding it copies the configuration into the current draft as a new Existing row; removing a favorite deletes only the template, not an already-saved draft row.</t>
        </is>
      </c>
      <c r="F39" s="20" t="inlineStr">
        <is>
          <t>Medium</t>
        </is>
      </c>
      <c r="G39" s="20" t="inlineStr">
        <is>
          <t>Not Tested</t>
        </is>
      </c>
      <c r="H39" s="21" t="inlineStr"/>
      <c r="I39" s="20" t="inlineStr"/>
      <c r="J39" s="21" t="inlineStr"/>
      <c r="K39" s="21" t="inlineStr">
        <is>
          <t>Days Off › Favorites</t>
        </is>
      </c>
    </row>
    <row r="40" ht="18" customHeight="1">
      <c r="A40" s="16" t="inlineStr">
        <is>
          <t>▸ Pairing</t>
        </is>
      </c>
      <c r="B40" s="17" t="n"/>
      <c r="C40" s="17" t="n"/>
      <c r="D40" s="17" t="n"/>
      <c r="E40" s="17" t="n"/>
      <c r="F40" s="17" t="n"/>
      <c r="G40" s="17" t="n"/>
      <c r="H40" s="17" t="n"/>
      <c r="I40" s="17" t="n"/>
      <c r="J40" s="17" t="n"/>
      <c r="K40" s="17" t="n"/>
    </row>
    <row r="41">
      <c r="A41" s="20" t="inlineStr">
        <is>
          <t>T4-CP-031</t>
        </is>
      </c>
      <c r="B41" s="21" t="inlineStr">
        <is>
          <t>Pairing</t>
        </is>
      </c>
      <c r="C41" s="21" t="inlineStr">
        <is>
          <t>Pairing workspace shows rows, counts, rules, and Search Pairings</t>
        </is>
      </c>
      <c r="D41" s="21" t="inlineStr">
        <is>
          <t>1. Open Pairing.
2. Review EXISTING PAIRING PROPERTIES (PROPERTY, BID, TIERS, COUNT).
3. Read the pool-count toolbar (current tier, rule count, pairing result count, REFRESH, VIEW RULES/VIEW PROPERTIES, SEARCH PAIRINGS).
4. Open ADD PAIRING PROPERTIES.</t>
        </is>
      </c>
      <c r="E41" s="21" t="inlineStr">
        <is>
          <t>Pairing shows the existing rows with a COUNT column, the pool-count toolbar with refresh/rules/search actions, and the add catalog; changes save to the current draft and may leave pool counts stale until refreshed.</t>
        </is>
      </c>
      <c r="F41" s="20" t="inlineStr">
        <is>
          <t>Low</t>
        </is>
      </c>
      <c r="G41" s="20" t="inlineStr">
        <is>
          <t>Not Tested</t>
        </is>
      </c>
      <c r="H41" s="21" t="inlineStr"/>
      <c r="I41" s="20" t="inlineStr"/>
      <c r="J41" s="21" t="inlineStr"/>
      <c r="K41" s="21" t="inlineStr">
        <is>
          <t>Pairing › Overview</t>
        </is>
      </c>
    </row>
    <row r="42">
      <c r="A42" s="18" t="inlineStr">
        <is>
          <t>T4-CP-032</t>
        </is>
      </c>
      <c r="B42" s="19" t="inlineStr">
        <is>
          <t>Pairing</t>
        </is>
      </c>
      <c r="C42" s="19" t="inlineStr">
        <is>
          <t>Add a pairing property from ADD PAIRING PROPERTIES</t>
        </is>
      </c>
      <c r="D42" s="19" t="inlineStr">
        <is>
          <t>1. Open Pairing and select ALL PROPERTIES in ADD PAIRING PROPERTIES.
2. Type into Search Properties to filter by name.
3. Read the row columns (PROPERTY, BID, TIERS).
4. Click the add action to open Configure Pairing Bid, complete fields, and save.
5. Use footer pagination when more than 10 rows match.</t>
        </is>
      </c>
      <c r="E42" s="19" t="inlineStr">
        <is>
          <t>After a successful add the property appears under EXISTING PAIRING PROPERTIES, pool counts are marked stale or refreshed, and a conflicting/single-use duplicate in the same tier is rejected with an error message.</t>
        </is>
      </c>
      <c r="F42" s="18" t="inlineStr">
        <is>
          <t>High</t>
        </is>
      </c>
      <c r="G42" s="18" t="inlineStr">
        <is>
          <t>Not Tested</t>
        </is>
      </c>
      <c r="H42" s="19" t="inlineStr"/>
      <c r="I42" s="18" t="inlineStr"/>
      <c r="J42" s="19" t="inlineStr"/>
      <c r="K42" s="19" t="inlineStr">
        <is>
          <t>Pairing › Add from the catalog</t>
        </is>
      </c>
    </row>
    <row r="43">
      <c r="A43" s="20" t="inlineStr">
        <is>
          <t>T4-CP-033</t>
        </is>
      </c>
      <c r="B43" s="21" t="inlineStr">
        <is>
          <t>Pairing</t>
        </is>
      </c>
      <c r="C43" s="21" t="inlineStr">
        <is>
          <t>Create and reuse a pairing favorite template</t>
        </is>
      </c>
      <c r="D43" s="21" t="inlineStr">
        <is>
          <t>1. Open Configure Pairing Bid for a property and complete TIERS, MODE, QUANTIFIER, and BID.
2. Click SAVE FAVORITE.
3. Open FAVORITED PROPERTIES and click add to copy the template into the draft.
4. Optionally use Preview to open Search Pairings for the favorite, or Delete favorite then Confirm Remove.</t>
        </is>
      </c>
      <c r="E43" s="21" t="inlineStr">
        <is>
          <t>The favorite appears as a saved template with read-only tier buttons; adding it creates a new EXISTING PAIRING PROPERTIES row; Confirm Remove deletes only the template, leaving already-saved draft rows intact.</t>
        </is>
      </c>
      <c r="F43" s="20" t="inlineStr">
        <is>
          <t>Medium</t>
        </is>
      </c>
      <c r="G43" s="20" t="inlineStr">
        <is>
          <t>Not Tested</t>
        </is>
      </c>
      <c r="H43" s="21" t="inlineStr"/>
      <c r="I43" s="20" t="inlineStr"/>
      <c r="J43" s="21" t="inlineStr"/>
      <c r="K43" s="21" t="inlineStr">
        <is>
          <t>Pairing › Favorites</t>
        </is>
      </c>
    </row>
    <row r="44">
      <c r="A44" s="18" t="inlineStr">
        <is>
          <t>T4-CP-034</t>
        </is>
      </c>
      <c r="B44" s="19" t="inlineStr">
        <is>
          <t>Pairing</t>
        </is>
      </c>
      <c r="C44" s="19" t="inlineStr">
        <is>
          <t>Read and refresh pairing pool counts</t>
        </is>
      </c>
      <c r="D44" s="19" t="inlineStr">
        <is>
          <t>1. Read the pool-count summary above EXISTING PAIRING PROPERTIES (current tier, rules label, pairing result label).
2. Edit a property row or tier selection so the summary becomes stale.
3. Click REFRESH.
4. Click VIEW RULES then VIEW PROPERTIES to toggle views.</t>
        </is>
      </c>
      <c r="E44" s="19" t="inlineStr">
        <is>
          <t>After an edit the summary shows a stale state; REFRESH recalculates counts for the current tier without changing draft rows; VIEW RULES/VIEW PROPERTIES toggle between the rule-expression view and the editable row list; per-row COUNT shows matching totals or a skeleton while loading.</t>
        </is>
      </c>
      <c r="F44" s="18" t="inlineStr">
        <is>
          <t>Medium</t>
        </is>
      </c>
      <c r="G44" s="18" t="inlineStr">
        <is>
          <t>Not Tested</t>
        </is>
      </c>
      <c r="H44" s="19" t="inlineStr"/>
      <c r="I44" s="18" t="inlineStr"/>
      <c r="J44" s="19" t="inlineStr"/>
      <c r="K44" s="19" t="inlineStr">
        <is>
          <t>Pairing › Pool counts</t>
        </is>
      </c>
    </row>
    <row r="45">
      <c r="A45" s="20" t="inlineStr">
        <is>
          <t>T4-CP-035</t>
        </is>
      </c>
      <c r="B45" s="21" t="inlineStr">
        <is>
          <t>Pairing</t>
        </is>
      </c>
      <c r="C45" s="21" t="inlineStr">
        <is>
          <t>Preview matching pairings via SEARCH PAIRINGS</t>
        </is>
      </c>
      <c r="D45" s="21" t="inlineStr">
        <is>
          <t>1. From a pairing row click the preview action to inspect that single property, or from the toolbar click SEARCH PAIRINGS for the current active rules.
2. On the Search Pairings page review SEARCH CRITERIA and SEARCH RESULTS.
3. Optionally use ADD MORE SEARCH CRITERIA or BID THESE PROPERTIES (choosing a tier in Choose Tier).
4. Use Back to return to the Pairing workbench.</t>
        </is>
      </c>
      <c r="E45" s="21" t="inlineStr">
        <is>
          <t>Search Pairings lists matching pairings with number, base, report time, block/credit, legs, and active dates; previewing does not change the draft (only add/update/delete or BID THESE PROPERTIES does), and with no active pairing rules the Portal asks to add a pairing property first.</t>
        </is>
      </c>
      <c r="F45" s="20" t="inlineStr">
        <is>
          <t>Medium</t>
        </is>
      </c>
      <c r="G45" s="20" t="inlineStr">
        <is>
          <t>Not Tested</t>
        </is>
      </c>
      <c r="H45" s="21" t="inlineStr"/>
      <c r="I45" s="20" t="inlineStr"/>
      <c r="J45" s="21" t="inlineStr"/>
      <c r="K45" s="21" t="inlineStr">
        <is>
          <t>Pairing › Search and preview</t>
        </is>
      </c>
    </row>
    <row r="46" ht="18" customHeight="1">
      <c r="A46" s="16" t="inlineStr">
        <is>
          <t>▸ Line</t>
        </is>
      </c>
      <c r="B46" s="17" t="n"/>
      <c r="C46" s="17" t="n"/>
      <c r="D46" s="17" t="n"/>
      <c r="E46" s="17" t="n"/>
      <c r="F46" s="17" t="n"/>
      <c r="G46" s="17" t="n"/>
      <c r="H46" s="17" t="n"/>
      <c r="I46" s="17" t="n"/>
      <c r="J46" s="17" t="n"/>
      <c r="K46" s="17" t="n"/>
    </row>
    <row r="47">
      <c r="A47" s="20" t="inlineStr">
        <is>
          <t>T4-CP-036</t>
        </is>
      </c>
      <c r="B47" s="21" t="inlineStr">
        <is>
          <t>Line</t>
        </is>
      </c>
      <c r="C47" s="21" t="inlineStr">
        <is>
          <t>Line page uses the shared Rule Bid panel</t>
        </is>
      </c>
      <c r="D47" s="21" t="inlineStr">
        <is>
          <t>1. Open Line from the top navigation.
2. Review EXISTING LINE PROPERTIES (PROPERTY, BID, TIERS).
3. Open ADD LINE PROPERTIES and confirm ALL PROPERTIES, FAVORITED PROPERTIES, and Search Properties.</t>
        </is>
      </c>
      <c r="E47" s="21" t="inlineStr">
        <is>
          <t>Line shows saved line rows and the addable catalog with the same shared Rule Bid pattern; simple properties add directly with T1-T7 while configurable ones (Mixed Line Bid, Min Base Layover, Commuter Pattern, Efficient Flying First, Reserve/Flying Date Pattern) open Configure Line Bid.</t>
        </is>
      </c>
      <c r="F47" s="20" t="inlineStr">
        <is>
          <t>Low</t>
        </is>
      </c>
      <c r="G47" s="20" t="inlineStr">
        <is>
          <t>Not Tested</t>
        </is>
      </c>
      <c r="H47" s="21" t="inlineStr"/>
      <c r="I47" s="20" t="inlineStr"/>
      <c r="J47" s="21" t="inlineStr"/>
      <c r="K47" s="21" t="inlineStr">
        <is>
          <t>Line › Overview</t>
        </is>
      </c>
    </row>
    <row r="48">
      <c r="A48" s="18" t="inlineStr">
        <is>
          <t>T4-CP-037</t>
        </is>
      </c>
      <c r="B48" s="19" t="inlineStr">
        <is>
          <t>Line</t>
        </is>
      </c>
      <c r="C48" s="19" t="inlineStr">
        <is>
          <t>Add a configurable Line property via Configure Line Bid</t>
        </is>
      </c>
      <c r="D48" s="19" t="inlineStr">
        <is>
          <t>1. Open Line and use ALL PROPERTIES in ADD LINE PROPERTIES.
2. For a configurable row (e.g. Commuter Pattern) click add to open Configure Line Bid.
3. Set PREFERENCE and BID fields, then select APPLY TO TIERS (T1-T7).
4. Click ADD BID.</t>
        </is>
      </c>
      <c r="E48" s="19" t="inlineStr">
        <is>
          <t>The saved Line bid appears in EXISTING LINE PROPERTIES with a readable BID summary (e.g. Work 4-5 days, then 4 days off); configurable rows keep inline tier controls hidden until the dialog opens to prevent incomplete bids.</t>
        </is>
      </c>
      <c r="F48" s="18" t="inlineStr">
        <is>
          <t>High</t>
        </is>
      </c>
      <c r="G48" s="18" t="inlineStr">
        <is>
          <t>Not Tested</t>
        </is>
      </c>
      <c r="H48" s="19" t="inlineStr"/>
      <c r="I48" s="18" t="inlineStr"/>
      <c r="J48" s="19" t="inlineStr"/>
      <c r="K48" s="19" t="inlineStr">
        <is>
          <t>Line › Add line properties</t>
        </is>
      </c>
    </row>
    <row r="49">
      <c r="A49" s="20" t="inlineStr">
        <is>
          <t>T4-CP-038</t>
        </is>
      </c>
      <c r="B49" s="21" t="inlineStr">
        <is>
          <t>Line</t>
        </is>
      </c>
      <c r="C49" s="21" t="inlineStr">
        <is>
          <t>Edit and delete a configured Line row with validation</t>
        </is>
      </c>
      <c r="D49" s="21" t="inlineStr">
        <is>
          <t>1. Find the property under EXISTING LINE PROPERTIES and check the BID summary.
2. Click edit for a configurable property (e.g. Commuter Pattern) to open Configure Line Bid.
3. Update fields or APPLY TO TIERS and click UPDATE BID.
4. On another row click delete and wait for the save to finish.</t>
        </is>
      </c>
      <c r="E49" s="21" t="inlineStr">
        <is>
          <t>The BID summary and Bid review update after a valid edit (e.g. Commuter Pattern days &gt;=1 and max days on &gt;= min days on); invalid values are rejected, and the deleted row is removed from EXISTING LINE PROPERTIES.</t>
        </is>
      </c>
      <c r="F49" s="20" t="inlineStr">
        <is>
          <t>High</t>
        </is>
      </c>
      <c r="G49" s="20" t="inlineStr">
        <is>
          <t>Not Tested</t>
        </is>
      </c>
      <c r="H49" s="21" t="inlineStr"/>
      <c r="I49" s="20" t="inlineStr"/>
      <c r="J49" s="21" t="inlineStr"/>
      <c r="K49" s="21" t="inlineStr">
        <is>
          <t>Line › Edit configured rows</t>
        </is>
      </c>
    </row>
    <row r="50">
      <c r="A50" s="18" t="inlineStr">
        <is>
          <t>T4-CP-039</t>
        </is>
      </c>
      <c r="B50" s="19" t="inlineStr">
        <is>
          <t>Line</t>
        </is>
      </c>
      <c r="C50" s="19" t="inlineStr">
        <is>
          <t>Apply Line bids to tiers and reuse a favorite</t>
        </is>
      </c>
      <c r="D50" s="19" t="inlineStr">
        <is>
          <t>1. Use the T1-T7 / APPLY TO TX controls to choose where a line property applies.
2. Confirm at least one tier stays active (clicking the last remaining tier does not remove it).
3. Use SAVE FAVORITE to store a reusable configuration.
4. Reuse it from FAVORITED PROPERTIES.</t>
        </is>
      </c>
      <c r="E50" s="19" t="inlineStr">
        <is>
          <t>A line bid always keeps at least one active tier; reusing a favorite adds a new Line bid to the current draft with the template's read-only tiers, and removing a favorite deletes only the template, not existing draft rows.</t>
        </is>
      </c>
      <c r="F50" s="18" t="inlineStr">
        <is>
          <t>Medium</t>
        </is>
      </c>
      <c r="G50" s="18" t="inlineStr">
        <is>
          <t>Not Tested</t>
        </is>
      </c>
      <c r="H50" s="19" t="inlineStr"/>
      <c r="I50" s="18" t="inlineStr"/>
      <c r="J50" s="19" t="inlineStr"/>
      <c r="K50" s="19" t="inlineStr">
        <is>
          <t>Line › Favorites and tiers</t>
        </is>
      </c>
    </row>
    <row r="51" ht="18" customHeight="1">
      <c r="A51" s="16" t="inlineStr">
        <is>
          <t>▸ Bid Conditions</t>
        </is>
      </c>
      <c r="B51" s="17" t="n"/>
      <c r="C51" s="17" t="n"/>
      <c r="D51" s="17" t="n"/>
      <c r="E51" s="17" t="n"/>
      <c r="F51" s="17" t="n"/>
      <c r="G51" s="17" t="n"/>
      <c r="H51" s="17" t="n"/>
      <c r="I51" s="17" t="n"/>
      <c r="J51" s="17" t="n"/>
      <c r="K51" s="17" t="n"/>
    </row>
    <row r="52">
      <c r="A52" s="18" t="inlineStr">
        <is>
          <t>T4-CP-040</t>
        </is>
      </c>
      <c r="B52" s="19" t="inlineStr">
        <is>
          <t>Bid Conditions</t>
        </is>
      </c>
      <c r="C52" s="19" t="inlineStr">
        <is>
          <t>Configure a Prefer Off days-off condition</t>
        </is>
      </c>
      <c r="D52" s="19" t="inlineStr">
        <is>
          <t>1. Use ADD BID PROPERTIES -&gt; DAYS OFF (or click a date in the left BIDDING CALENDAR).
2. Add Prefer Off (property 201) and open its dialog.
3. Choose T1-T7 tiers and the target dates, weekdays, or date range.
4. Save with ADD BID.</t>
        </is>
      </c>
      <c r="E52" s="19" t="inlineStr">
        <is>
          <t>A Prefer Off row is saved for the chosen tiers and dates and shown in the Existing list; the left-calendar date entry point prefills the clicked date and search/filter fields alone do not save the bid.</t>
        </is>
      </c>
      <c r="F52" s="18" t="inlineStr">
        <is>
          <t>High</t>
        </is>
      </c>
      <c r="G52" s="18" t="inlineStr">
        <is>
          <t>Not Tested</t>
        </is>
      </c>
      <c r="H52" s="19" t="inlineStr"/>
      <c r="I52" s="18" t="inlineStr"/>
      <c r="J52" s="19" t="inlineStr"/>
      <c r="K52" s="19" t="inlineStr">
        <is>
          <t>Bid Conditions › Days Off Conditions (Prefer Off)</t>
        </is>
      </c>
    </row>
    <row r="53">
      <c r="A53" s="20" t="inlineStr">
        <is>
          <t>T4-CP-041</t>
        </is>
      </c>
      <c r="B53" s="21" t="inlineStr">
        <is>
          <t>Bid Conditions</t>
        </is>
      </c>
      <c r="C53" s="21" t="inlineStr">
        <is>
          <t>Configure a Long Stretch Off / Compressed Flying condition</t>
        </is>
      </c>
      <c r="D53" s="21" t="inlineStr">
        <is>
          <t>1. Use ADD BID PROPERTIES -&gt; DAYS OFF.
2. Add Long Stretch Off / Compressed Flying (property 204) and open its dialog.
3. Choose T1-T7 tiers and complete the required stretch fields.
4. Save with ADD BID.</t>
        </is>
      </c>
      <c r="E53" s="21" t="inlineStr">
        <is>
          <t>The Long Stretch Off / Compressed Flying condition is saved to the selected tiers and appears in the Existing list with its summary.</t>
        </is>
      </c>
      <c r="F53" s="20" t="inlineStr">
        <is>
          <t>High</t>
        </is>
      </c>
      <c r="G53" s="20" t="inlineStr">
        <is>
          <t>Not Tested</t>
        </is>
      </c>
      <c r="H53" s="21" t="inlineStr"/>
      <c r="I53" s="20" t="inlineStr"/>
      <c r="J53" s="21" t="inlineStr"/>
      <c r="K53" s="21" t="inlineStr">
        <is>
          <t>Bid Conditions › Days Off Conditions (Long Stretch Off / Compressed Flying)</t>
        </is>
      </c>
    </row>
    <row r="54">
      <c r="A54" s="18" t="inlineStr">
        <is>
          <t>T4-CP-042</t>
        </is>
      </c>
      <c r="B54" s="19" t="inlineStr">
        <is>
          <t>Bid Conditions</t>
        </is>
      </c>
      <c r="C54" s="19" t="inlineStr">
        <is>
          <t>Configure Pairing Check-In / Check-Out Time</t>
        </is>
      </c>
      <c r="D54" s="19" t="inlineStr">
        <is>
          <t>1. Use ADD BID PROPERTIES -&gt; PAIRING and add Pairing Check-In / Check-Out Time (property 103).
2. In Configure Pairing Bid select TIERS, MODE (Award/Avoid), and QUANTIFIER when shown.
3. Set the check-in or check-out time window in the BID control.
4. Save with ADD BID.</t>
        </is>
      </c>
      <c r="E54" s="19" t="inlineStr">
        <is>
          <t>A Check-In / Check-Out Time condition is saved with the chosen time window, mode, and tiers, using the Event Date scope; the row appears in EXISTING PAIRING PROPERTIES.</t>
        </is>
      </c>
      <c r="F54" s="18" t="inlineStr">
        <is>
          <t>High</t>
        </is>
      </c>
      <c r="G54" s="18" t="inlineStr">
        <is>
          <t>Not Tested</t>
        </is>
      </c>
      <c r="H54" s="19" t="inlineStr"/>
      <c r="I54" s="18" t="inlineStr"/>
      <c r="J54" s="19" t="inlineStr"/>
      <c r="K54" s="19" t="inlineStr">
        <is>
          <t>Bid Conditions › Pairing Conditions (Check-In / Check-Out Time)</t>
        </is>
      </c>
    </row>
    <row r="55">
      <c r="A55" s="20" t="inlineStr">
        <is>
          <t>T4-CP-043</t>
        </is>
      </c>
      <c r="B55" s="21" t="inlineStr">
        <is>
          <t>Bid Conditions</t>
        </is>
      </c>
      <c r="C55" s="21" t="inlineStr">
        <is>
          <t>Configure Flight Legs per Duty</t>
        </is>
      </c>
      <c r="D55" s="21" t="inlineStr">
        <is>
          <t>1. Use ADD BID PROPERTIES -&gt; PAIRING and add Flight Legs per Duty (property 107).
2. Select TIERS and MODE (Award/Avoid).
3. Enter the number of legs per duty in the BID control.
4. Save with ADD BID.</t>
        </is>
      </c>
      <c r="E55" s="21" t="inlineStr">
        <is>
          <t>The Flight Legs per Duty condition saves with the entered leg count, mode, and tiers and is shown in the Existing list.</t>
        </is>
      </c>
      <c r="F55" s="20" t="inlineStr">
        <is>
          <t>High</t>
        </is>
      </c>
      <c r="G55" s="20" t="inlineStr">
        <is>
          <t>Not Tested</t>
        </is>
      </c>
      <c r="H55" s="21" t="inlineStr"/>
      <c r="I55" s="20" t="inlineStr"/>
      <c r="J55" s="21" t="inlineStr"/>
      <c r="K55" s="21" t="inlineStr">
        <is>
          <t>Bid Conditions › Pairing Conditions (Flight Legs per Duty)</t>
        </is>
      </c>
    </row>
    <row r="56">
      <c r="A56" s="18" t="inlineStr">
        <is>
          <t>T4-CP-044</t>
        </is>
      </c>
      <c r="B56" s="19" t="inlineStr">
        <is>
          <t>Bid Conditions</t>
        </is>
      </c>
      <c r="C56" s="19" t="inlineStr">
        <is>
          <t>Configure Work Day Preference</t>
        </is>
      </c>
      <c r="D56" s="19" t="inlineStr">
        <is>
          <t>1. Use ADD BID PROPERTIES -&gt; PAIRING and add Work Day Preference (property 110).
2. Select TIERS and MODE as prompted.
3. Complete the work-day BID fields.
4. Save with ADD BID.</t>
        </is>
      </c>
      <c r="E56" s="19" t="inlineStr">
        <is>
          <t>The Work Day Preference condition is saved to the chosen tiers and appears in EXISTING PAIRING PROPERTIES with its summary.</t>
        </is>
      </c>
      <c r="F56" s="18" t="inlineStr">
        <is>
          <t>High</t>
        </is>
      </c>
      <c r="G56" s="18" t="inlineStr">
        <is>
          <t>Not Tested</t>
        </is>
      </c>
      <c r="H56" s="19" t="inlineStr"/>
      <c r="I56" s="18" t="inlineStr"/>
      <c r="J56" s="19" t="inlineStr"/>
      <c r="K56" s="19" t="inlineStr">
        <is>
          <t>Bid Conditions › Pairing Conditions (Work Day Preference)</t>
        </is>
      </c>
    </row>
    <row r="57">
      <c r="A57" s="20" t="inlineStr">
        <is>
          <t>T4-CP-045</t>
        </is>
      </c>
      <c r="B57" s="21" t="inlineStr">
        <is>
          <t>Bid Conditions</t>
        </is>
      </c>
      <c r="C57" s="21" t="inlineStr">
        <is>
          <t>Configure Pairing Length</t>
        </is>
      </c>
      <c r="D57" s="21" t="inlineStr">
        <is>
          <t>1. Use ADD BID PROPERTIES -&gt; PAIRING and add Pairing Length (property 112).
2. Select TIERS and MODE (Award/Avoid).
3. Enter the pairing length in days in the BID control.
4. Save with ADD BID.</t>
        </is>
      </c>
      <c r="E57" s="21" t="inlineStr">
        <is>
          <t>The Pairing Length condition saves with the entered day count, mode, and tiers using the Pairing Start Date scope and is shown in the Existing list.</t>
        </is>
      </c>
      <c r="F57" s="20" t="inlineStr">
        <is>
          <t>High</t>
        </is>
      </c>
      <c r="G57" s="20" t="inlineStr">
        <is>
          <t>Not Tested</t>
        </is>
      </c>
      <c r="H57" s="21" t="inlineStr"/>
      <c r="I57" s="20" t="inlineStr"/>
      <c r="J57" s="21" t="inlineStr"/>
      <c r="K57" s="21" t="inlineStr">
        <is>
          <t>Bid Conditions › Pairing Conditions (Pairing Length)</t>
        </is>
      </c>
    </row>
    <row r="58">
      <c r="A58" s="18" t="inlineStr">
        <is>
          <t>T4-CP-046</t>
        </is>
      </c>
      <c r="B58" s="19" t="inlineStr">
        <is>
          <t>Bid Conditions</t>
        </is>
      </c>
      <c r="C58" s="19" t="inlineStr">
        <is>
          <t>Configure Flight Number Preference</t>
        </is>
      </c>
      <c r="D58" s="19" t="inlineStr">
        <is>
          <t>1. Use ADD BID PROPERTIES -&gt; PAIRING and add Flight Number Preference (property 116).
2. Select TIERS and MODE.
3. In the BID control type at least one character in Search Flight Number and select a flight number (changing Type alone does not select one).
4. Save with ADD BID.</t>
        </is>
      </c>
      <c r="E58" s="19" t="inlineStr">
        <is>
          <t>The Flight Number Preference saves with the selected flight number, mode, and tiers using the Flight Date scope; the row appears in EXISTING PAIRING PROPERTIES.</t>
        </is>
      </c>
      <c r="F58" s="18" t="inlineStr">
        <is>
          <t>High</t>
        </is>
      </c>
      <c r="G58" s="18" t="inlineStr">
        <is>
          <t>Not Tested</t>
        </is>
      </c>
      <c r="H58" s="19" t="inlineStr"/>
      <c r="I58" s="18" t="inlineStr"/>
      <c r="J58" s="19" t="inlineStr"/>
      <c r="K58" s="19" t="inlineStr">
        <is>
          <t>Bid Conditions › Pairing Conditions (Flight Number Preference)</t>
        </is>
      </c>
    </row>
    <row r="59">
      <c r="A59" s="20" t="inlineStr">
        <is>
          <t>T4-CP-047</t>
        </is>
      </c>
      <c r="B59" s="21" t="inlineStr">
        <is>
          <t>Bid Conditions</t>
        </is>
      </c>
      <c r="C59" s="21" t="inlineStr">
        <is>
          <t>Configure Redeye Preference</t>
        </is>
      </c>
      <c r="D59" s="21" t="inlineStr">
        <is>
          <t>1. Use ADD BID PROPERTIES -&gt; PAIRING and add Redeye Preference (property 117).
2. Select TIERS and choose MODE (Award or Avoid).
3. Save with ADD BID.</t>
        </is>
      </c>
      <c r="E59" s="21" t="inlineStr">
        <is>
          <t>The Redeye Preference condition saves with the chosen Award/Avoid mode and tiers using the Flight Date scope and appears in the Existing list.</t>
        </is>
      </c>
      <c r="F59" s="20" t="inlineStr">
        <is>
          <t>High</t>
        </is>
      </c>
      <c r="G59" s="20" t="inlineStr">
        <is>
          <t>Not Tested</t>
        </is>
      </c>
      <c r="H59" s="21" t="inlineStr"/>
      <c r="I59" s="20" t="inlineStr"/>
      <c r="J59" s="21" t="inlineStr"/>
      <c r="K59" s="21" t="inlineStr">
        <is>
          <t>Bid Conditions › Pairing Conditions (Redeye Preference)</t>
        </is>
      </c>
    </row>
    <row r="60">
      <c r="A60" s="18" t="inlineStr">
        <is>
          <t>T4-CP-048</t>
        </is>
      </c>
      <c r="B60" s="19" t="inlineStr">
        <is>
          <t>Bid Conditions</t>
        </is>
      </c>
      <c r="C60" s="19" t="inlineStr">
        <is>
          <t>Configure Deadhead Flying</t>
        </is>
      </c>
      <c r="D60" s="19" t="inlineStr">
        <is>
          <t>1. Use ADD BID PROPERTIES -&gt; PAIRING and add Deadhead Flying (property 122).
2. Select TIERS and MODE (Award/Avoid).
3. Complete the BID fields.
4. Save with ADD BID.</t>
        </is>
      </c>
      <c r="E60" s="19" t="inlineStr">
        <is>
          <t>The Deadhead Flying condition saves with the chosen mode and tiers using the Flight Date scope and is shown in EXISTING PAIRING PROPERTIES.</t>
        </is>
      </c>
      <c r="F60" s="18" t="inlineStr">
        <is>
          <t>High</t>
        </is>
      </c>
      <c r="G60" s="18" t="inlineStr">
        <is>
          <t>Not Tested</t>
        </is>
      </c>
      <c r="H60" s="19" t="inlineStr"/>
      <c r="I60" s="18" t="inlineStr"/>
      <c r="J60" s="19" t="inlineStr"/>
      <c r="K60" s="19" t="inlineStr">
        <is>
          <t>Bid Conditions › Pairing Conditions (Deadhead Flying)</t>
        </is>
      </c>
    </row>
    <row r="61">
      <c r="A61" s="20" t="inlineStr">
        <is>
          <t>T4-CP-049</t>
        </is>
      </c>
      <c r="B61" s="21" t="inlineStr">
        <is>
          <t>Bid Conditions</t>
        </is>
      </c>
      <c r="C61" s="21" t="inlineStr">
        <is>
          <t>Configure Time Between Flights</t>
        </is>
      </c>
      <c r="D61" s="21" t="inlineStr">
        <is>
          <t>1. Use ADD BID PROPERTIES -&gt; PAIRING and add Time Between Flights (property 129).
2. Wait for the duration bounds to load (the editor is disabled until they do).
3. Select TIERS and set the duration in the BID control.
4. Save with ADD BID.</t>
        </is>
      </c>
      <c r="E61" s="21" t="inlineStr">
        <is>
          <t>With bounds loaded, the Time Between Flights condition saves for the chosen tiers; if the limits fail to load, the dialog shows Unable to load the Time Between Flights limits and a Retry control instead of allowing an invalid save.</t>
        </is>
      </c>
      <c r="F61" s="20" t="inlineStr">
        <is>
          <t>High</t>
        </is>
      </c>
      <c r="G61" s="20" t="inlineStr">
        <is>
          <t>Not Tested</t>
        </is>
      </c>
      <c r="H61" s="21" t="inlineStr"/>
      <c r="I61" s="20" t="inlineStr"/>
      <c r="J61" s="21" t="inlineStr"/>
      <c r="K61" s="21" t="inlineStr">
        <is>
          <t>Bid Conditions › Pairing Conditions (Time Between Flights)</t>
        </is>
      </c>
    </row>
    <row r="62">
      <c r="A62" s="18" t="inlineStr">
        <is>
          <t>T4-CP-050</t>
        </is>
      </c>
      <c r="B62" s="19" t="inlineStr">
        <is>
          <t>Bid Conditions</t>
        </is>
      </c>
      <c r="C62" s="19" t="inlineStr">
        <is>
          <t>Configure Month-End Carryover</t>
        </is>
      </c>
      <c r="D62" s="19" t="inlineStr">
        <is>
          <t>1. Use ADD BID PROPERTIES -&gt; PAIRING and add Month-End Carryover (property 163).
2. Select TIERS and MODE as prompted.
3. Complete the carryover BID fields.
4. Save with ADD BID.</t>
        </is>
      </c>
      <c r="E62" s="19" t="inlineStr">
        <is>
          <t>The Month-End Carryover condition is saved for the chosen tiers and appears in the Existing list with its summary.</t>
        </is>
      </c>
      <c r="F62" s="18" t="inlineStr">
        <is>
          <t>High</t>
        </is>
      </c>
      <c r="G62" s="18" t="inlineStr">
        <is>
          <t>Not Tested</t>
        </is>
      </c>
      <c r="H62" s="19" t="inlineStr"/>
      <c r="I62" s="18" t="inlineStr"/>
      <c r="J62" s="19" t="inlineStr"/>
      <c r="K62" s="19" t="inlineStr">
        <is>
          <t>Bid Conditions › Pairing Conditions (Month-End Carryover)</t>
        </is>
      </c>
    </row>
    <row r="63">
      <c r="A63" s="20" t="inlineStr">
        <is>
          <t>T4-CP-051</t>
        </is>
      </c>
      <c r="B63" s="21" t="inlineStr">
        <is>
          <t>Bid Conditions</t>
        </is>
      </c>
      <c r="C63" s="21" t="inlineStr">
        <is>
          <t>Configure Airport Preference</t>
        </is>
      </c>
      <c r="D63" s="21" t="inlineStr">
        <is>
          <t>1. Use ADD BID PROPERTIES -&gt; PAIRING and add Airport Preference (property 168).
2. Select TIERS and MODE (Award/Avoid).
3. In the BID control type an airport or city code and select a matching option.
4. Save with ADD BID.</t>
        </is>
      </c>
      <c r="E63" s="21" t="inlineStr">
        <is>
          <t>The Airport Preference saves with the selected airport/city, mode, and tiers using the Event Date scope; when no option matches, the selector shows No airports or cities match instead of saving an empty value.</t>
        </is>
      </c>
      <c r="F63" s="20" t="inlineStr">
        <is>
          <t>High</t>
        </is>
      </c>
      <c r="G63" s="20" t="inlineStr">
        <is>
          <t>Not Tested</t>
        </is>
      </c>
      <c r="H63" s="21" t="inlineStr"/>
      <c r="I63" s="20" t="inlineStr"/>
      <c r="J63" s="21" t="inlineStr"/>
      <c r="K63" s="21" t="inlineStr">
        <is>
          <t>Bid Conditions › Pairing Conditions (Airport Preference)</t>
        </is>
      </c>
    </row>
    <row r="64">
      <c r="A64" s="18" t="inlineStr">
        <is>
          <t>T4-CP-052</t>
        </is>
      </c>
      <c r="B64" s="19" t="inlineStr">
        <is>
          <t>Bid Conditions</t>
        </is>
      </c>
      <c r="C64" s="19" t="inlineStr">
        <is>
          <t>Configure Efficient Flying First</t>
        </is>
      </c>
      <c r="D64" s="19" t="inlineStr">
        <is>
          <t>1. Use ADD BID PROPERTIES -&gt; PAIRING and add Efficient Flying First (property 428).
2. Select TIERS and choose Award or Avoid.
3. Save with ADD BID.</t>
        </is>
      </c>
      <c r="E64" s="19" t="inlineStr">
        <is>
          <t>Efficient Flying First saves with the chosen preference (Award prioritizes highest average daily credit first, Avoid prioritizes lowest) and appears in the Existing list; it cannot save without Award/Avoid selected.</t>
        </is>
      </c>
      <c r="F64" s="18" t="inlineStr">
        <is>
          <t>High</t>
        </is>
      </c>
      <c r="G64" s="18" t="inlineStr">
        <is>
          <t>Not Tested</t>
        </is>
      </c>
      <c r="H64" s="19" t="inlineStr"/>
      <c r="I64" s="18" t="inlineStr"/>
      <c r="J64" s="19" t="inlineStr"/>
      <c r="K64" s="19" t="inlineStr">
        <is>
          <t>Bid Conditions › Pairing Conditions (Efficient Flying First)</t>
        </is>
      </c>
    </row>
    <row r="65">
      <c r="A65" s="20" t="inlineStr">
        <is>
          <t>T4-CP-053</t>
        </is>
      </c>
      <c r="B65" s="21" t="inlineStr">
        <is>
          <t>Bid Conditions</t>
        </is>
      </c>
      <c r="C65" s="21" t="inlineStr">
        <is>
          <t>Configure Minimum Base Layover</t>
        </is>
      </c>
      <c r="D65" s="21" t="inlineStr">
        <is>
          <t>1. Use ADD BID PROPERTIES -&gt; ROSTER (Line) and add Minimum Base Layover (property 407).
2. In Configure Line Bid set the minimum base layover BID value.
3. Select APPLY TO TIERS (T1-T7).
4. Click ADD BID.</t>
        </is>
      </c>
      <c r="E65" s="21" t="inlineStr">
        <is>
          <t>The Minimum Base Layover condition saves with the entered value and tiers and appears in EXISTING LINE PROPERTIES with a readable summary.</t>
        </is>
      </c>
      <c r="F65" s="20" t="inlineStr">
        <is>
          <t>High</t>
        </is>
      </c>
      <c r="G65" s="20" t="inlineStr">
        <is>
          <t>Not Tested</t>
        </is>
      </c>
      <c r="H65" s="21" t="inlineStr"/>
      <c r="I65" s="20" t="inlineStr"/>
      <c r="J65" s="21" t="inlineStr"/>
      <c r="K65" s="21" t="inlineStr">
        <is>
          <t>Bid Conditions › Roster / Line Conditions (Minimum Base Layover)</t>
        </is>
      </c>
    </row>
    <row r="66">
      <c r="A66" s="18" t="inlineStr">
        <is>
          <t>T4-CP-054</t>
        </is>
      </c>
      <c r="B66" s="19" t="inlineStr">
        <is>
          <t>Bid Conditions</t>
        </is>
      </c>
      <c r="C66" s="19" t="inlineStr">
        <is>
          <t>Configure Commuter Pattern</t>
        </is>
      </c>
      <c r="D66" s="19" t="inlineStr">
        <is>
          <t>1. Use ADD BID PROPERTIES -&gt; ROSTER (Line) and add Commuter Pattern (property 408).
2. In Configure Line Bid set minimum days off plus min/max days on.
3. Select APPLY TO TIERS.
4. Click ADD BID.</t>
        </is>
      </c>
      <c r="E66" s="19" t="inlineStr">
        <is>
          <t>The Commuter Pattern saves only when pattern days are at least 1 and max days on is greater than or equal to min days on; the saved row shows the work/off pattern summary in EXISTING LINE PROPERTIES.</t>
        </is>
      </c>
      <c r="F66" s="18" t="inlineStr">
        <is>
          <t>High</t>
        </is>
      </c>
      <c r="G66" s="18" t="inlineStr">
        <is>
          <t>Not Tested</t>
        </is>
      </c>
      <c r="H66" s="19" t="inlineStr"/>
      <c r="I66" s="18" t="inlineStr"/>
      <c r="J66" s="19" t="inlineStr"/>
      <c r="K66" s="19" t="inlineStr">
        <is>
          <t>Bid Conditions › Roster / Line Conditions (Commuter Pattern)</t>
        </is>
      </c>
    </row>
    <row r="67">
      <c r="A67" s="20" t="inlineStr">
        <is>
          <t>T4-CP-055</t>
        </is>
      </c>
      <c r="B67" s="21" t="inlineStr">
        <is>
          <t>Bid Conditions</t>
        </is>
      </c>
      <c r="C67" s="21" t="inlineStr">
        <is>
          <t>Configure Mixed Line Bid (Reserve Only / Pairing Only)</t>
        </is>
      </c>
      <c r="D67" s="21" t="inlineStr">
        <is>
          <t>1. Use ADD BID PROPERTIES -&gt; ROSTER (Line) and add Mixed Line Bid (property 427).
2. In Configure Line Bid choose Reserve Only or Pairing Only.
3. Select at least one Tier.
4. Click ADD BID.</t>
        </is>
      </c>
      <c r="E67" s="21" t="inlineStr">
        <is>
          <t>Reserve Only saves a reserve-only 427 bid and Pairing Only saves a pairing-only 427 bid; leaving it as the default Mixed Line saves no 427 bid, and editing an existing row back to Mixed Line removes the 427 bid.</t>
        </is>
      </c>
      <c r="F67" s="20" t="inlineStr">
        <is>
          <t>High</t>
        </is>
      </c>
      <c r="G67" s="20" t="inlineStr">
        <is>
          <t>Not Tested</t>
        </is>
      </c>
      <c r="H67" s="21" t="inlineStr"/>
      <c r="I67" s="20" t="inlineStr"/>
      <c r="J67" s="21" t="inlineStr"/>
      <c r="K67" s="21" t="inlineStr">
        <is>
          <t>Bid Conditions › Roster / Line Conditions (Mixed Line Bid)</t>
        </is>
      </c>
    </row>
    <row r="68">
      <c r="A68" s="18" t="inlineStr">
        <is>
          <t>T4-CP-056</t>
        </is>
      </c>
      <c r="B68" s="19" t="inlineStr">
        <is>
          <t>Bid Conditions</t>
        </is>
      </c>
      <c r="C68" s="19" t="inlineStr">
        <is>
          <t>Configure Credit Window Preference</t>
        </is>
      </c>
      <c r="D68" s="19" t="inlineStr">
        <is>
          <t>1. Use ADD BID PROPERTIES -&gt; ROSTER (Line) and add Credit Window Preference (property 429).
2. In Configure Line Bid set the credit window BID values.
3. Select APPLY TO TIERS.
4. Click ADD BID.</t>
        </is>
      </c>
      <c r="E68" s="19" t="inlineStr">
        <is>
          <t>The Credit Window Preference saves with the configured credit window and tiers and appears in EXISTING LINE PROPERTIES with its summary.</t>
        </is>
      </c>
      <c r="F68" s="18" t="inlineStr">
        <is>
          <t>High</t>
        </is>
      </c>
      <c r="G68" s="18" t="inlineStr">
        <is>
          <t>Not Tested</t>
        </is>
      </c>
      <c r="H68" s="19" t="inlineStr"/>
      <c r="I68" s="18" t="inlineStr"/>
      <c r="J68" s="19" t="inlineStr"/>
      <c r="K68" s="19" t="inlineStr">
        <is>
          <t>Bid Conditions › Roster / Line Conditions (Credit Window Preference)</t>
        </is>
      </c>
    </row>
    <row r="69">
      <c r="A69" s="20" t="inlineStr">
        <is>
          <t>T4-CP-057</t>
        </is>
      </c>
      <c r="B69" s="21" t="inlineStr">
        <is>
          <t>Bid Conditions</t>
        </is>
      </c>
      <c r="C69" s="21" t="inlineStr">
        <is>
          <t>Configure a Reserve Preference across the whole month</t>
        </is>
      </c>
      <c r="D69" s="21" t="inlineStr">
        <is>
          <t>1. Open Reserve and click ADD RESERVE PREFERENCE.
2. Choose a SHORT-CALL TYPE (property 301).
3. Under DATE SCOPE choose Whole Month.
4. Select APPLY TO TIERS and click ADD BID.</t>
        </is>
      </c>
      <c r="E69" s="21" t="inlineStr">
        <is>
          <t>The Reserve Preference saves with Whole Month scope, the chosen short-call type, and tiers, and appears in EXISTING RESERVE PROPERTIES; Reserve Date Scope is saved with the bid, not applied as a visual filter.</t>
        </is>
      </c>
      <c r="F69" s="20" t="inlineStr">
        <is>
          <t>High</t>
        </is>
      </c>
      <c r="G69" s="20" t="inlineStr">
        <is>
          <t>Not Tested</t>
        </is>
      </c>
      <c r="H69" s="21" t="inlineStr"/>
      <c r="I69" s="20" t="inlineStr"/>
      <c r="J69" s="21" t="inlineStr"/>
      <c r="K69" s="21" t="inlineStr">
        <is>
          <t>Bid Conditions › Reserve Conditions (Reserve Preference)</t>
        </is>
      </c>
    </row>
    <row r="70">
      <c r="A70" s="18" t="inlineStr">
        <is>
          <t>T4-CP-058</t>
        </is>
      </c>
      <c r="B70" s="19" t="inlineStr">
        <is>
          <t>Bid Conditions</t>
        </is>
      </c>
      <c r="C70" s="19" t="inlineStr">
        <is>
          <t>Configure a Reserve Preference for specific dates</t>
        </is>
      </c>
      <c r="D70" s="19" t="inlineStr">
        <is>
          <t>1. Click ADD RESERVE PREFERENCE and choose a SHORT-CALL TYPE.
2. Under DATE SCOPE choose Specific Dates.
3. Use the date input and ADD DATE to build the selected date list.
4. Select APPLY TO TIERS and click ADD BID.</t>
        </is>
      </c>
      <c r="E70" s="19" t="inlineStr">
        <is>
          <t>The Reserve Preference saves with the exact specific dates and tiers (only available in Current Reserve, not Standing); a fully duplicate call type/date scope/tier combination triggers a duplicate warning instead of a second row.</t>
        </is>
      </c>
      <c r="F70" s="18" t="inlineStr">
        <is>
          <t>High</t>
        </is>
      </c>
      <c r="G70" s="18" t="inlineStr">
        <is>
          <t>Not Tested</t>
        </is>
      </c>
      <c r="H70" s="19" t="inlineStr"/>
      <c r="I70" s="18" t="inlineStr"/>
      <c r="J70" s="19" t="inlineStr"/>
      <c r="K70" s="19" t="inlineStr">
        <is>
          <t>Bid Conditions › Reserve Conditions (Reserve Preference)</t>
        </is>
      </c>
    </row>
    <row r="71">
      <c r="A71" s="20" t="inlineStr">
        <is>
          <t>T4-CP-059</t>
        </is>
      </c>
      <c r="B71" s="21" t="inlineStr">
        <is>
          <t>Bid Conditions</t>
        </is>
      </c>
      <c r="C71" s="21" t="inlineStr">
        <is>
          <t>Save a reusable Standing Bid condition</t>
        </is>
      </c>
      <c r="D71" s="21" t="inlineStr">
        <is>
          <t>1. Open Standing Bid and select a category under ADD STANDING BID (e.g. Days Off -&gt; Prefer Off, or Pairing -&gt; Pairing Length).
2. Complete the reusable pattern in Configure Standing Bid (no exact current-period date).
3. Select T1-T7 and click ADD BID.</t>
        </is>
      </c>
      <c r="E71" s="21" t="inlineStr">
        <is>
          <t>The reusable pattern condition is saved into EXISTING STANDING BID with its tiers and persists across periods; Standing Pairing dialogs hide the Limit to Event Date control because exact event dates are Current Bid data only.</t>
        </is>
      </c>
      <c r="F71" s="20" t="inlineStr">
        <is>
          <t>High</t>
        </is>
      </c>
      <c r="G71" s="20" t="inlineStr">
        <is>
          <t>Not Tested</t>
        </is>
      </c>
      <c r="H71" s="21" t="inlineStr"/>
      <c r="I71" s="20" t="inlineStr"/>
      <c r="J71" s="21" t="inlineStr"/>
      <c r="K71" s="21" t="inlineStr">
        <is>
          <t>Bid Conditions › Standing Bid Conditions (reusable pattern)</t>
        </is>
      </c>
    </row>
    <row r="72">
      <c r="A72" s="18" t="inlineStr">
        <is>
          <t>T4-CP-060</t>
        </is>
      </c>
      <c r="B72" s="19" t="inlineStr">
        <is>
          <t>Bid Conditions</t>
        </is>
      </c>
      <c r="C72" s="19" t="inlineStr">
        <is>
          <t>Confirm Pairing Preference is Current-only in Standing Bid</t>
        </is>
      </c>
      <c r="D72" s="19" t="inlineStr">
        <is>
          <t>1. Open Standing Bid and select the PAIRING category under ADD STANDING BID.
2. Review the visible pairing conditions.
3. Look for Pairing Preference.</t>
        </is>
      </c>
      <c r="E72" s="19" t="inlineStr">
        <is>
          <t>Pairing Preference (property 102) is not offered as a Standing Bid condition because it saves selected current-period pairing rows; the crew must add Pairing Preference from Current Bid instead.</t>
        </is>
      </c>
      <c r="F72" s="18" t="inlineStr">
        <is>
          <t>Medium</t>
        </is>
      </c>
      <c r="G72" s="18" t="inlineStr">
        <is>
          <t>Not Tested</t>
        </is>
      </c>
      <c r="H72" s="19" t="inlineStr"/>
      <c r="I72" s="18" t="inlineStr"/>
      <c r="J72" s="19" t="inlineStr"/>
      <c r="K72" s="19" t="inlineStr">
        <is>
          <t>Bid Conditions › Standing Bid Conditions (Current-only exception)</t>
        </is>
      </c>
    </row>
    <row r="73" ht="18" customHeight="1">
      <c r="A73" s="16" t="inlineStr">
        <is>
          <t>▸ Standing Bid</t>
        </is>
      </c>
      <c r="B73" s="17" t="n"/>
      <c r="C73" s="17" t="n"/>
      <c r="D73" s="17" t="n"/>
      <c r="E73" s="17" t="n"/>
      <c r="F73" s="17" t="n"/>
      <c r="G73" s="17" t="n"/>
      <c r="H73" s="17" t="n"/>
      <c r="I73" s="17" t="n"/>
      <c r="J73" s="17" t="n"/>
      <c r="K73" s="17" t="n"/>
    </row>
    <row r="74">
      <c r="A74" s="18" t="inlineStr">
        <is>
          <t>T4-CP-061</t>
        </is>
      </c>
      <c r="B74" s="19" t="inlineStr">
        <is>
          <t>Standing Bid</t>
        </is>
      </c>
      <c r="C74" s="19" t="inlineStr">
        <is>
          <t>Standing Bid stores reusable conditions without the left calendar</t>
        </is>
      </c>
      <c r="D74" s="19" t="inlineStr">
        <is>
          <t>1. Open Standing Bid.
2. Review EXISTING STANDING BID rows with summaries and Tier tags.
3. Use ALL / T1-T7 to filter the Existing list.
4. Open ADD STANDING BID and confirm DAYS OFF, PAIRING, ROSTER, and RESERVE categories.</t>
        </is>
      </c>
      <c r="E74" s="19" t="inlineStr">
        <is>
          <t>Standing Bid shows reusable saved conditions with tier tags, an ALL/T1-T7 filter that does not change saved conditions, and no left BIDDING CALENDAR; saved Current Bid business conditions are used first and Standing Bid is the fallback.</t>
        </is>
      </c>
      <c r="F74" s="18" t="inlineStr">
        <is>
          <t>Low</t>
        </is>
      </c>
      <c r="G74" s="18" t="inlineStr">
        <is>
          <t>Not Tested</t>
        </is>
      </c>
      <c r="H74" s="19" t="inlineStr"/>
      <c r="I74" s="18" t="inlineStr"/>
      <c r="J74" s="19" t="inlineStr"/>
      <c r="K74" s="19" t="inlineStr">
        <is>
          <t>Standing Bid › Overview</t>
        </is>
      </c>
    </row>
    <row r="75">
      <c r="A75" s="20" t="inlineStr">
        <is>
          <t>T4-CP-062</t>
        </is>
      </c>
      <c r="B75" s="21" t="inlineStr">
        <is>
          <t>Standing Bid</t>
        </is>
      </c>
      <c r="C75" s="21" t="inlineStr">
        <is>
          <t>Add a Standing Bid condition with tiers</t>
        </is>
      </c>
      <c r="D75" s="21" t="inlineStr">
        <is>
          <t>1. Open Standing Bid and review EXISTING STANDING BID.
2. Under ADD STANDING BID select DAYS OFF, PAIRING, ROSTER, or RESERVE.
3. Select a visible property and complete Configure Standing Bid.
4. Select one or more T1-T7 and click ADD BID.</t>
        </is>
      </c>
      <c r="E75" s="21" t="inlineStr">
        <is>
          <t>The saved Standing condition appears in EXISTING STANDING BID and remains until updated or deleted; conditions tied to an exact date, date range, or a specific pairing occurrence are not shown as Standing options.</t>
        </is>
      </c>
      <c r="F75" s="20" t="inlineStr">
        <is>
          <t>High</t>
        </is>
      </c>
      <c r="G75" s="20" t="inlineStr">
        <is>
          <t>Not Tested</t>
        </is>
      </c>
      <c r="H75" s="21" t="inlineStr"/>
      <c r="I75" s="20" t="inlineStr"/>
      <c r="J75" s="21" t="inlineStr"/>
      <c r="K75" s="21" t="inlineStr">
        <is>
          <t>Standing Bid › Add and manage Standing Bid</t>
        </is>
      </c>
    </row>
    <row r="76">
      <c r="A76" s="18" t="inlineStr">
        <is>
          <t>T4-CP-063</t>
        </is>
      </c>
      <c r="B76" s="19" t="inlineStr">
        <is>
          <t>Standing Bid</t>
        </is>
      </c>
      <c r="C76" s="19" t="inlineStr">
        <is>
          <t>Filter, edit, and delete Standing Bid conditions</t>
        </is>
      </c>
      <c r="D76" s="19" t="inlineStr">
        <is>
          <t>1. Use ALL or a T1-T7 filter to find the saved condition.
2. Select EDIT, change the fields, and click UPDATE BID.
3. Use the delete button on a condition and confirm it is removed.</t>
        </is>
      </c>
      <c r="E76" s="19" t="inlineStr">
        <is>
          <t>The filter narrows the Existing list without changing saved data, an edited condition reflects the new values, and a deleted condition is removed from EXISTING STANDING BID.</t>
        </is>
      </c>
      <c r="F76" s="18" t="inlineStr">
        <is>
          <t>High</t>
        </is>
      </c>
      <c r="G76" s="18" t="inlineStr">
        <is>
          <t>Not Tested</t>
        </is>
      </c>
      <c r="H76" s="19" t="inlineStr"/>
      <c r="I76" s="18" t="inlineStr"/>
      <c r="J76" s="19" t="inlineStr"/>
      <c r="K76" s="19" t="inlineStr">
        <is>
          <t>Standing Bid › Add and manage Standing Bid</t>
        </is>
      </c>
    </row>
    <row r="77" ht="18" customHeight="1">
      <c r="A77" s="16" t="inlineStr">
        <is>
          <t>▸ Award</t>
        </is>
      </c>
      <c r="B77" s="17" t="n"/>
      <c r="C77" s="17" t="n"/>
      <c r="D77" s="17" t="n"/>
      <c r="E77" s="17" t="n"/>
      <c r="F77" s="17" t="n"/>
      <c r="G77" s="17" t="n"/>
      <c r="H77" s="17" t="n"/>
      <c r="I77" s="17" t="n"/>
      <c r="J77" s="17" t="n"/>
      <c r="K77" s="17" t="n"/>
    </row>
    <row r="78">
      <c r="A78" s="18" t="inlineStr">
        <is>
          <t>T4-CP-064</t>
        </is>
      </c>
      <c r="B78" s="19" t="inlineStr">
        <is>
          <t>Award</t>
        </is>
      </c>
      <c r="C78" s="19" t="inlineStr">
        <is>
          <t>Review a published Award roster and duty details</t>
        </is>
      </c>
      <c r="D78" s="19" t="inlineStr">
        <is>
          <t>1. Open Award after the result is published.
2. Use Award period to switch between readable published periods when it appears.
3. Review the month calendar and duty/activity blocks.
4. Select a duty to review Roster Details and Selected Duty.
5. Open Reason Report Preview / Award Explanation when available.</t>
        </is>
      </c>
      <c r="E78" s="19" t="inlineStr">
        <is>
          <t>Award shows the published roster with summary fields (Period, Duties, Days Off, Pairings, Credit Hours, Block Hours) and per-duty details; status labels (Published, Final, Mis-award Closed, Awaiting publication, Scheduled) are shown correctly, -- means unavailable data, and the Reason Report button is disabled when no explanations exist.</t>
        </is>
      </c>
      <c r="F78" s="18" t="inlineStr">
        <is>
          <t>Medium</t>
        </is>
      </c>
      <c r="G78" s="18" t="inlineStr">
        <is>
          <t>Not Tested</t>
        </is>
      </c>
      <c r="H78" s="19" t="inlineStr"/>
      <c r="I78" s="18" t="inlineStr"/>
      <c r="J78" s="19" t="inlineStr"/>
      <c r="K78" s="19" t="inlineStr">
        <is>
          <t>Award › View a published Award</t>
        </is>
      </c>
    </row>
    <row r="79" ht="18" customHeight="1">
      <c r="A79" s="16" t="inlineStr">
        <is>
          <t>▸ Common Questions</t>
        </is>
      </c>
      <c r="B79" s="17" t="n"/>
      <c r="C79" s="17" t="n"/>
      <c r="D79" s="17" t="n"/>
      <c r="E79" s="17" t="n"/>
      <c r="F79" s="17" t="n"/>
      <c r="G79" s="17" t="n"/>
      <c r="H79" s="17" t="n"/>
      <c r="I79" s="17" t="n"/>
      <c r="J79" s="17" t="n"/>
      <c r="K79" s="17" t="n"/>
    </row>
    <row r="80">
      <c r="A80" s="18" t="inlineStr">
        <is>
          <t>T4-CP-065</t>
        </is>
      </c>
      <c r="B80" s="19" t="inlineStr">
        <is>
          <t>Common Questions</t>
        </is>
      </c>
      <c r="C80" s="19" t="inlineStr">
        <is>
          <t>Recover from an unavailable ADD BID or a missing saved condition</t>
        </is>
      </c>
      <c r="D80" s="19" t="inlineStr">
        <is>
          <t>1. When ADD BID is unavailable, complete every REQUIRED field and select at least one T1-T7 value.
2. After saving, wait for the pending button state to finish and confirm the row in the matching Existing list.
3. If a saved bid is not visible, change the active Tier to the tier the condition was assigned to.
4. Use the row action in EXISTING BID/RESERVE/STANDING properties to edit or delete.</t>
        </is>
      </c>
      <c r="E80" s="19" t="inlineStr">
        <is>
          <t>ADD BID becomes available once required fields and a tier are set; a saved condition appears with its summary/Tier tags after the pending state clears; a condition assigned to another Tier reappears when that Tier is selected, confirming it was not lost.</t>
        </is>
      </c>
      <c r="F80" s="18" t="inlineStr">
        <is>
          <t>Low</t>
        </is>
      </c>
      <c r="G80" s="18" t="inlineStr">
        <is>
          <t>Not Tested</t>
        </is>
      </c>
      <c r="H80" s="19" t="inlineStr"/>
      <c r="I80" s="18" t="inlineStr"/>
      <c r="J80" s="19" t="inlineStr"/>
      <c r="K80" s="19" t="inlineStr">
        <is>
          <t>Common Questions › Common questions and recovery steps</t>
        </is>
      </c>
    </row>
  </sheetData>
  <mergeCells count="13">
    <mergeCell ref="A77:K77"/>
    <mergeCell ref="A15:K15"/>
    <mergeCell ref="A25:K25"/>
    <mergeCell ref="A73:K73"/>
    <mergeCell ref="A2:K2"/>
    <mergeCell ref="A33:K33"/>
    <mergeCell ref="A51:K51"/>
    <mergeCell ref="A10:K10"/>
    <mergeCell ref="A46:K46"/>
    <mergeCell ref="A5:K5"/>
    <mergeCell ref="A1:K1"/>
    <mergeCell ref="A40:K40"/>
    <mergeCell ref="A79:K79"/>
  </mergeCells>
  <dataValidations count="2">
    <dataValidation sqref="G5:G80" showDropDown="0" showInputMessage="0" showErrorMessage="0" allowBlank="0" type="list">
      <formula1>"Pass,Fail,Blocked,Not Tested"</formula1>
    </dataValidation>
    <dataValidation sqref="F5:F80"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2026-08-25T10:11:10Z</dcterms:created>
  <dcterms:modified xsi:type="dcterms:W3CDTF">2026-08-25T10:11:10Z</dcterms:modified>
</cp:coreProperties>
</file>