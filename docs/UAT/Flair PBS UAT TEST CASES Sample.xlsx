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ps/Library/Mobile Documents/com~apple~CloudDocs/Projects/Flair/UAT/"/>
    </mc:Choice>
  </mc:AlternateContent>
  <xr:revisionPtr revIDLastSave="0" documentId="8_{F1696528-53EE-BE4A-8C57-F2EB09A38F06}" xr6:coauthVersionLast="47" xr6:coauthVersionMax="47" xr10:uidLastSave="{00000000-0000-0000-0000-000000000000}"/>
  <bookViews>
    <workbookView xWindow="900" yWindow="740" windowWidth="24320" windowHeight="18380" tabRatio="799" xr2:uid="{00000000-000D-0000-FFFF-FFFF00000000}"/>
  </bookViews>
  <sheets>
    <sheet name="1.1_CC" sheetId="89" r:id="rId1"/>
    <sheet name="1.1_FD" sheetId="92" r:id="rId2"/>
    <sheet name="2." sheetId="106" r:id="rId3"/>
    <sheet name="3." sheetId="86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06" l="1"/>
  <c r="S5" i="106"/>
  <c r="O5" i="106"/>
  <c r="K5" i="106"/>
  <c r="S4" i="106"/>
  <c r="O4" i="106"/>
  <c r="K4" i="106"/>
  <c r="S3" i="106"/>
  <c r="O3" i="106"/>
  <c r="K3" i="106"/>
  <c r="S2" i="106"/>
  <c r="O2" i="106"/>
  <c r="K2" i="106"/>
  <c r="K6" i="92" l="1"/>
  <c r="S5" i="92"/>
  <c r="O5" i="92"/>
  <c r="K5" i="92"/>
  <c r="S4" i="92"/>
  <c r="O4" i="92"/>
  <c r="K4" i="92"/>
  <c r="S3" i="92"/>
  <c r="O3" i="92"/>
  <c r="K3" i="92"/>
  <c r="S2" i="92"/>
  <c r="O2" i="92"/>
  <c r="K2" i="92"/>
  <c r="K6" i="89" l="1"/>
  <c r="S5" i="89"/>
  <c r="O5" i="89"/>
  <c r="K5" i="89"/>
  <c r="S4" i="89"/>
  <c r="O4" i="89"/>
  <c r="K4" i="89"/>
  <c r="S3" i="89"/>
  <c r="O3" i="89"/>
  <c r="K3" i="89"/>
  <c r="S2" i="89"/>
  <c r="O2" i="89"/>
  <c r="K2" i="89"/>
  <c r="K6" i="86" l="1"/>
  <c r="S5" i="86"/>
  <c r="O5" i="86"/>
  <c r="K5" i="86"/>
  <c r="S4" i="86"/>
  <c r="O4" i="86"/>
  <c r="K4" i="86"/>
  <c r="S3" i="86"/>
  <c r="O3" i="86"/>
  <c r="K3" i="86"/>
  <c r="S2" i="86"/>
  <c r="O2" i="86"/>
  <c r="K2" i="86"/>
</calcChain>
</file>

<file path=xl/sharedStrings.xml><?xml version="1.0" encoding="utf-8"?>
<sst xmlns="http://schemas.openxmlformats.org/spreadsheetml/2006/main" count="254" uniqueCount="56">
  <si>
    <t>Roster</t>
  </si>
  <si>
    <t>Unit Testing</t>
  </si>
  <si>
    <t>Prerequisites</t>
  </si>
  <si>
    <t>UAT Test 1</t>
  </si>
  <si>
    <t>UAT Test 2</t>
  </si>
  <si>
    <t>UAT Test 3</t>
  </si>
  <si>
    <t xml:space="preserve">Test Case: </t>
  </si>
  <si>
    <t>1.Roster Rules</t>
  </si>
  <si>
    <t>Tester User ID Level Set To:</t>
  </si>
  <si>
    <t>Passed</t>
  </si>
  <si>
    <t xml:space="preserve">Test Description: </t>
  </si>
  <si>
    <t>Access To:</t>
  </si>
  <si>
    <t>Failed</t>
  </si>
  <si>
    <t>Created By:</t>
  </si>
  <si>
    <t>Vorasrisipang Yodhabandhu</t>
  </si>
  <si>
    <t>Blocked</t>
  </si>
  <si>
    <t>Reviewed By:</t>
  </si>
  <si>
    <t>Partial Passed</t>
  </si>
  <si>
    <t>Software Version:</t>
  </si>
  <si>
    <t>W_A_D</t>
  </si>
  <si>
    <t>WBS:</t>
  </si>
  <si>
    <t xml:space="preserve">Testers Log: </t>
  </si>
  <si>
    <t>Date Tested:</t>
  </si>
  <si>
    <t>Testers Name:</t>
  </si>
  <si>
    <t>Component:</t>
  </si>
  <si>
    <t>REF:</t>
  </si>
  <si>
    <t>LSY REF:</t>
  </si>
  <si>
    <t>LSY RULE #</t>
  </si>
  <si>
    <t>Description:</t>
  </si>
  <si>
    <t>Test Action:</t>
  </si>
  <si>
    <t>Test Steps:</t>
  </si>
  <si>
    <t>Expected Result:</t>
  </si>
  <si>
    <t>Severity</t>
  </si>
  <si>
    <t>UAT 1</t>
  </si>
  <si>
    <t>Screenshot:
REF1</t>
  </si>
  <si>
    <t>Comments/ Notes: 1</t>
  </si>
  <si>
    <t>Tested by: 1</t>
  </si>
  <si>
    <t>UAT 2</t>
  </si>
  <si>
    <t>Screenshot:
REF2</t>
  </si>
  <si>
    <t>Comments/ Notes:2</t>
  </si>
  <si>
    <t>Tested by:2</t>
  </si>
  <si>
    <t>UAT 3</t>
  </si>
  <si>
    <t>Screenshot:
REF3</t>
  </si>
  <si>
    <t>Comments/ Notes:3</t>
  </si>
  <si>
    <t>Tested by:3</t>
  </si>
  <si>
    <t>OM-A C.7</t>
  </si>
  <si>
    <t xml:space="preserve">Limit the number of "2" time for WOCL pairing in 1 calendar month. 
Assign a flight WOCL to the crew.
</t>
  </si>
  <si>
    <t>System shall show error message if over the limit.
(DDMMMYY) "The number of WOCL duties in 1 calendar month shall not exceed 2 times."
Change the rule type (Soft/Soft with override by password/Hard)
Rules: Soft
System allow to assign.
Rules: Soft with override by password
System require to override by password of DP-A Manager and can be assign.
Rules: Hard
System not allow to assign.</t>
  </si>
  <si>
    <r>
      <rPr>
        <b/>
        <sz val="16"/>
        <color rgb="FFFF0000"/>
        <rFont val="Calibri"/>
        <family val="2"/>
        <scheme val="minor"/>
      </rPr>
      <t>Severity : 1</t>
    </r>
    <r>
      <rPr>
        <sz val="16"/>
        <color rgb="FFFF0000"/>
        <rFont val="Calibri"/>
        <family val="2"/>
        <scheme val="minor"/>
      </rPr>
      <t xml:space="preserve">
Rules: Soft
System allow to assign.</t>
    </r>
  </si>
  <si>
    <t>Additional Req.</t>
  </si>
  <si>
    <t>3. Cabin Crew Roster Optimizer</t>
  </si>
  <si>
    <t xml:space="preserve">WOCL: The period between 02:00 and 05:59 hours in time zone crew is acclimatised. 
</t>
    <phoneticPr fontId="40" type="noConversion"/>
  </si>
  <si>
    <t>Maximum  N pairing for crew teams:
- Maximum 1 number of N pairing for crew teams</t>
    <phoneticPr fontId="40" type="noConversion"/>
  </si>
  <si>
    <t>1. Setting maximum N flight for the specified crew team
2. Assign N flight in 1 calendar month for 1 pairing.
3. Assign N flight in 1 calendar month for 2 pairings.
4. Change the rule type (Soft/Soft with override by password/Hard)</t>
    <phoneticPr fontId="40" type="noConversion"/>
  </si>
  <si>
    <t xml:space="preserve">System shall show error message;
(DDMMMYY) "Maximum 1 number of N pairing for teams."
If warning any other please note in the comment.
Rules: Soft
System allow to assign.
Rules: Soft with override by password
System require to override by password of DP-A Manager and can be assign.
Rules: Hard
System not allow to assign.
</t>
    <phoneticPr fontId="40" type="noConversion"/>
  </si>
  <si>
    <t>2. Pilot roster optimizer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</si>
</sst>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rgb="FFCC0000"/>
      <name val="Calibri"/>
      <family val="2"/>
      <scheme val="minor"/>
    </font>
    <font>
      <b/>
      <sz val="12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9"/>
      <name val="Calibri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DDBD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4">
    <xf numFmtId="0" fontId="0" fillId="0" borderId="0">
      <alignment vertical="center"/>
    </xf>
    <xf numFmtId="0" fontId="22" fillId="0" borderId="0"/>
    <xf numFmtId="0" fontId="22" fillId="0" borderId="0"/>
    <xf numFmtId="0" fontId="23" fillId="0" borderId="0" applyNumberFormat="0" applyFill="0" applyBorder="0" applyAlignment="0" applyProtection="0"/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185">
    <xf numFmtId="0" fontId="0" fillId="0" borderId="0" xfId="0">
      <alignment vertical="center"/>
    </xf>
    <xf numFmtId="0" fontId="11" fillId="0" borderId="0" xfId="0" applyFont="1" applyAlignment="1"/>
    <xf numFmtId="0" fontId="12" fillId="0" borderId="0" xfId="0" applyFont="1" applyAlignment="1">
      <alignment horizontal="left" vertical="top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3" fillId="2" borderId="0" xfId="0" applyFont="1" applyFill="1" applyAlignment="1">
      <alignment horizontal="left" wrapText="1"/>
    </xf>
    <xf numFmtId="0" fontId="13" fillId="3" borderId="1" xfId="0" applyFont="1" applyFill="1" applyBorder="1" applyAlignment="1">
      <alignment horizontal="left" wrapText="1"/>
    </xf>
    <xf numFmtId="0" fontId="13" fillId="3" borderId="0" xfId="0" applyFont="1" applyFill="1" applyAlignment="1">
      <alignment horizontal="left" wrapText="1"/>
    </xf>
    <xf numFmtId="0" fontId="13" fillId="3" borderId="2" xfId="0" applyFont="1" applyFill="1" applyBorder="1" applyAlignment="1">
      <alignment horizontal="right" wrapText="1"/>
    </xf>
    <xf numFmtId="0" fontId="13" fillId="2" borderId="0" xfId="0" applyFont="1" applyFill="1" applyAlignment="1">
      <alignment horizontal="right" wrapText="1"/>
    </xf>
    <xf numFmtId="0" fontId="14" fillId="4" borderId="3" xfId="0" applyFont="1" applyFill="1" applyBorder="1" applyAlignment="1">
      <alignment horizontal="right" vertical="center" wrapText="1"/>
    </xf>
    <xf numFmtId="0" fontId="0" fillId="4" borderId="3" xfId="0" applyFill="1" applyBorder="1" applyAlignment="1">
      <alignment horizontal="left" vertical="center" wrapText="1"/>
    </xf>
    <xf numFmtId="0" fontId="14" fillId="5" borderId="4" xfId="0" applyFont="1" applyFill="1" applyBorder="1" applyAlignment="1">
      <alignment horizontal="right" vertical="center" wrapText="1"/>
    </xf>
    <xf numFmtId="0" fontId="0" fillId="5" borderId="4" xfId="0" applyFill="1" applyBorder="1" applyAlignment="1">
      <alignment horizontal="left" vertical="center" wrapText="1"/>
    </xf>
    <xf numFmtId="0" fontId="14" fillId="6" borderId="4" xfId="0" applyFont="1" applyFill="1" applyBorder="1" applyAlignment="1">
      <alignment horizontal="right" vertical="center" wrapText="1"/>
    </xf>
    <xf numFmtId="0" fontId="0" fillId="6" borderId="4" xfId="0" applyFill="1" applyBorder="1" applyAlignment="1">
      <alignment vertical="center" wrapText="1"/>
    </xf>
    <xf numFmtId="0" fontId="0" fillId="0" borderId="5" xfId="0" applyBorder="1" applyAlignment="1">
      <alignment horizontal="center"/>
    </xf>
    <xf numFmtId="0" fontId="16" fillId="2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left" vertical="top" wrapText="1"/>
    </xf>
    <xf numFmtId="0" fontId="19" fillId="0" borderId="0" xfId="0" applyFont="1" applyAlignment="1">
      <alignment horizontal="right"/>
    </xf>
    <xf numFmtId="0" fontId="0" fillId="0" borderId="0" xfId="0" applyAlignment="1">
      <alignment horizontal="left"/>
    </xf>
    <xf numFmtId="0" fontId="15" fillId="0" borderId="0" xfId="0" applyFont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5" fillId="0" borderId="0" xfId="0" applyFont="1" applyAlignment="1">
      <alignment vertical="top" wrapText="1"/>
    </xf>
    <xf numFmtId="0" fontId="12" fillId="8" borderId="0" xfId="0" applyFont="1" applyFill="1" applyAlignment="1">
      <alignment horizontal="left" vertical="top"/>
    </xf>
    <xf numFmtId="0" fontId="25" fillId="8" borderId="0" xfId="0" applyFont="1" applyFill="1" applyAlignment="1">
      <alignment vertical="top" wrapText="1"/>
    </xf>
    <xf numFmtId="0" fontId="14" fillId="8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25" fillId="0" borderId="0" xfId="0" applyFont="1" applyAlignment="1">
      <alignment horizontal="left" vertical="top" wrapText="1"/>
    </xf>
    <xf numFmtId="0" fontId="12" fillId="8" borderId="0" xfId="0" applyFont="1" applyFill="1" applyAlignment="1">
      <alignment horizontal="left" vertical="top" wrapText="1"/>
    </xf>
    <xf numFmtId="0" fontId="12" fillId="8" borderId="0" xfId="0" applyFont="1" applyFill="1" applyAlignment="1">
      <alignment vertical="top" wrapText="1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left" vertical="top" wrapText="1"/>
    </xf>
    <xf numFmtId="0" fontId="12" fillId="9" borderId="0" xfId="0" applyFont="1" applyFill="1" applyAlignment="1">
      <alignment horizontal="left" vertical="top" wrapText="1"/>
    </xf>
    <xf numFmtId="0" fontId="12" fillId="9" borderId="0" xfId="0" applyFont="1" applyFill="1" applyAlignment="1">
      <alignment vertical="top" wrapText="1"/>
    </xf>
    <xf numFmtId="0" fontId="25" fillId="9" borderId="0" xfId="0" applyFont="1" applyFill="1" applyAlignment="1">
      <alignment vertical="top" wrapText="1"/>
    </xf>
    <xf numFmtId="0" fontId="14" fillId="9" borderId="0" xfId="0" applyFont="1" applyFill="1" applyAlignment="1">
      <alignment horizontal="center" vertical="center" wrapText="1"/>
    </xf>
    <xf numFmtId="0" fontId="14" fillId="9" borderId="0" xfId="0" applyFont="1" applyFill="1" applyAlignment="1">
      <alignment horizontal="left" vertical="top" wrapText="1"/>
    </xf>
    <xf numFmtId="0" fontId="12" fillId="9" borderId="0" xfId="0" applyFont="1" applyFill="1" applyAlignment="1">
      <alignment horizontal="left" vertical="top"/>
    </xf>
    <xf numFmtId="0" fontId="14" fillId="9" borderId="0" xfId="0" applyFont="1" applyFill="1" applyAlignment="1">
      <alignment horizontal="center" vertical="center"/>
    </xf>
    <xf numFmtId="0" fontId="25" fillId="9" borderId="0" xfId="0" applyFont="1" applyFill="1" applyAlignment="1">
      <alignment horizontal="left" vertical="top" wrapText="1"/>
    </xf>
    <xf numFmtId="0" fontId="25" fillId="9" borderId="0" xfId="0" applyFont="1" applyFill="1" applyAlignment="1">
      <alignment horizontal="left" vertical="top"/>
    </xf>
    <xf numFmtId="0" fontId="26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6" fillId="0" borderId="0" xfId="0" applyFont="1" applyAlignment="1">
      <alignment horizontal="left" vertical="top"/>
    </xf>
    <xf numFmtId="0" fontId="27" fillId="0" borderId="0" xfId="0" applyFont="1" applyAlignment="1">
      <alignment horizontal="center" vertical="center"/>
    </xf>
    <xf numFmtId="0" fontId="24" fillId="9" borderId="0" xfId="0" applyFont="1" applyFill="1" applyAlignment="1">
      <alignment horizontal="left" vertical="top" wrapText="1"/>
    </xf>
    <xf numFmtId="0" fontId="25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 wrapText="1"/>
    </xf>
    <xf numFmtId="0" fontId="24" fillId="9" borderId="0" xfId="0" applyFont="1" applyFill="1" applyAlignment="1">
      <alignment vertical="top" wrapText="1"/>
    </xf>
    <xf numFmtId="0" fontId="24" fillId="9" borderId="0" xfId="0" applyFont="1" applyFill="1" applyAlignment="1">
      <alignment horizontal="left" vertical="top"/>
    </xf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vertical="top" wrapText="1"/>
    </xf>
    <xf numFmtId="0" fontId="18" fillId="0" borderId="0" xfId="0" applyFont="1" applyAlignment="1">
      <alignment horizontal="left" vertical="center"/>
    </xf>
    <xf numFmtId="0" fontId="17" fillId="8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30" fillId="0" borderId="0" xfId="0" applyFont="1" applyAlignment="1"/>
    <xf numFmtId="0" fontId="31" fillId="0" borderId="0" xfId="0" applyFont="1" applyAlignment="1">
      <alignment horizontal="left" vertical="top"/>
    </xf>
    <xf numFmtId="0" fontId="31" fillId="10" borderId="0" xfId="0" applyFont="1" applyFill="1" applyAlignment="1">
      <alignment horizontal="left" vertical="top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horizontal="center" vertical="center"/>
    </xf>
    <xf numFmtId="0" fontId="14" fillId="12" borderId="11" xfId="0" applyFont="1" applyFill="1" applyBorder="1" applyAlignment="1">
      <alignment horizontal="center" vertical="center" wrapText="1"/>
    </xf>
    <xf numFmtId="0" fontId="13" fillId="2" borderId="0" xfId="8" applyFont="1" applyFill="1" applyAlignment="1">
      <alignment horizontal="left" wrapText="1"/>
    </xf>
    <xf numFmtId="0" fontId="13" fillId="3" borderId="1" xfId="8" applyFont="1" applyFill="1" applyBorder="1" applyAlignment="1">
      <alignment horizontal="left" wrapText="1"/>
    </xf>
    <xf numFmtId="0" fontId="13" fillId="3" borderId="0" xfId="8" applyFont="1" applyFill="1" applyAlignment="1">
      <alignment horizontal="left" wrapText="1"/>
    </xf>
    <xf numFmtId="0" fontId="13" fillId="3" borderId="2" xfId="8" applyFont="1" applyFill="1" applyBorder="1" applyAlignment="1">
      <alignment horizontal="right" wrapText="1"/>
    </xf>
    <xf numFmtId="0" fontId="13" fillId="2" borderId="0" xfId="8" applyFont="1" applyFill="1" applyAlignment="1">
      <alignment horizontal="right" wrapText="1"/>
    </xf>
    <xf numFmtId="0" fontId="7" fillId="0" borderId="0" xfId="8" applyAlignment="1"/>
    <xf numFmtId="0" fontId="18" fillId="0" borderId="0" xfId="8" applyFont="1" applyAlignment="1">
      <alignment horizontal="left" vertical="center"/>
    </xf>
    <xf numFmtId="0" fontId="7" fillId="0" borderId="0" xfId="8" applyAlignment="1">
      <alignment horizontal="center"/>
    </xf>
    <xf numFmtId="0" fontId="21" fillId="0" borderId="0" xfId="8" applyFont="1" applyAlignment="1">
      <alignment horizontal="left" vertical="center"/>
    </xf>
    <xf numFmtId="0" fontId="14" fillId="4" borderId="3" xfId="8" applyFont="1" applyFill="1" applyBorder="1" applyAlignment="1">
      <alignment horizontal="right" vertical="center" wrapText="1"/>
    </xf>
    <xf numFmtId="0" fontId="7" fillId="4" borderId="3" xfId="8" applyFill="1" applyBorder="1" applyAlignment="1">
      <alignment horizontal="left" vertical="center" wrapText="1"/>
    </xf>
    <xf numFmtId="0" fontId="19" fillId="0" borderId="0" xfId="8" applyFont="1" applyAlignment="1">
      <alignment horizontal="right"/>
    </xf>
    <xf numFmtId="0" fontId="7" fillId="0" borderId="0" xfId="8" applyAlignment="1">
      <alignment horizontal="left"/>
    </xf>
    <xf numFmtId="0" fontId="14" fillId="5" borderId="4" xfId="8" applyFont="1" applyFill="1" applyBorder="1" applyAlignment="1">
      <alignment horizontal="right" vertical="center" wrapText="1"/>
    </xf>
    <xf numFmtId="0" fontId="7" fillId="5" borderId="4" xfId="8" applyFill="1" applyBorder="1" applyAlignment="1">
      <alignment horizontal="left" vertical="center" wrapText="1"/>
    </xf>
    <xf numFmtId="0" fontId="15" fillId="0" borderId="0" xfId="8" applyFont="1" applyAlignment="1">
      <alignment horizontal="center" vertical="center"/>
    </xf>
    <xf numFmtId="0" fontId="7" fillId="0" borderId="0" xfId="8" applyAlignment="1">
      <alignment horizontal="center" vertical="center"/>
    </xf>
    <xf numFmtId="0" fontId="14" fillId="6" borderId="4" xfId="8" applyFont="1" applyFill="1" applyBorder="1" applyAlignment="1">
      <alignment horizontal="right" vertical="center" wrapText="1"/>
    </xf>
    <xf numFmtId="0" fontId="7" fillId="6" borderId="4" xfId="8" applyFill="1" applyBorder="1" applyAlignment="1">
      <alignment vertical="center" wrapText="1"/>
    </xf>
    <xf numFmtId="0" fontId="7" fillId="0" borderId="5" xfId="8" applyBorder="1" applyAlignment="1">
      <alignment horizontal="center"/>
    </xf>
    <xf numFmtId="0" fontId="16" fillId="2" borderId="6" xfId="8" applyFont="1" applyFill="1" applyBorder="1" applyAlignment="1">
      <alignment horizontal="center" vertical="center" wrapText="1"/>
    </xf>
    <xf numFmtId="0" fontId="16" fillId="7" borderId="6" xfId="8" applyFont="1" applyFill="1" applyBorder="1" applyAlignment="1">
      <alignment horizontal="center" vertical="center" wrapText="1"/>
    </xf>
    <xf numFmtId="0" fontId="20" fillId="2" borderId="6" xfId="8" applyFont="1" applyFill="1" applyBorder="1" applyAlignment="1">
      <alignment horizontal="center" vertical="center" wrapText="1"/>
    </xf>
    <xf numFmtId="0" fontId="11" fillId="0" borderId="0" xfId="8" applyFont="1" applyAlignment="1"/>
    <xf numFmtId="0" fontId="24" fillId="0" borderId="0" xfId="8" applyFont="1" applyAlignment="1">
      <alignment horizontal="left" vertical="top" wrapText="1"/>
    </xf>
    <xf numFmtId="0" fontId="17" fillId="9" borderId="0" xfId="8" applyFont="1" applyFill="1" applyAlignment="1">
      <alignment horizontal="center" vertical="center" wrapText="1"/>
    </xf>
    <xf numFmtId="0" fontId="25" fillId="0" borderId="0" xfId="8" applyFont="1" applyAlignment="1">
      <alignment horizontal="left" vertical="top"/>
    </xf>
    <xf numFmtId="0" fontId="17" fillId="0" borderId="0" xfId="8" applyFont="1" applyAlignment="1">
      <alignment horizontal="center" vertical="center"/>
    </xf>
    <xf numFmtId="0" fontId="24" fillId="0" borderId="0" xfId="8" applyFont="1" applyAlignment="1">
      <alignment horizontal="left" vertical="top"/>
    </xf>
    <xf numFmtId="0" fontId="24" fillId="9" borderId="0" xfId="8" applyFont="1" applyFill="1" applyAlignment="1">
      <alignment horizontal="left" vertical="top" wrapText="1"/>
    </xf>
    <xf numFmtId="0" fontId="17" fillId="9" borderId="11" xfId="8" applyFont="1" applyFill="1" applyBorder="1" applyAlignment="1">
      <alignment horizontal="center" vertical="center" wrapText="1"/>
    </xf>
    <xf numFmtId="0" fontId="25" fillId="9" borderId="0" xfId="8" applyFont="1" applyFill="1" applyAlignment="1">
      <alignment horizontal="left" vertical="top"/>
    </xf>
    <xf numFmtId="0" fontId="17" fillId="9" borderId="0" xfId="8" applyFont="1" applyFill="1" applyAlignment="1">
      <alignment horizontal="center" vertical="center"/>
    </xf>
    <xf numFmtId="0" fontId="24" fillId="9" borderId="0" xfId="8" applyFont="1" applyFill="1" applyAlignment="1">
      <alignment horizontal="left" vertical="top"/>
    </xf>
    <xf numFmtId="0" fontId="24" fillId="8" borderId="0" xfId="8" applyFont="1" applyFill="1" applyAlignment="1">
      <alignment horizontal="left" vertical="top" wrapText="1"/>
    </xf>
    <xf numFmtId="0" fontId="25" fillId="8" borderId="0" xfId="8" applyFont="1" applyFill="1" applyAlignment="1">
      <alignment horizontal="left" vertical="top"/>
    </xf>
    <xf numFmtId="0" fontId="17" fillId="8" borderId="0" xfId="8" applyFont="1" applyFill="1" applyAlignment="1">
      <alignment horizontal="center" vertical="center"/>
    </xf>
    <xf numFmtId="0" fontId="24" fillId="8" borderId="0" xfId="8" applyFont="1" applyFill="1" applyAlignment="1">
      <alignment horizontal="left" vertical="top"/>
    </xf>
    <xf numFmtId="0" fontId="28" fillId="9" borderId="0" xfId="8" applyFont="1" applyFill="1" applyAlignment="1">
      <alignment horizontal="left" vertical="top" wrapText="1"/>
    </xf>
    <xf numFmtId="0" fontId="29" fillId="9" borderId="0" xfId="8" applyFont="1" applyFill="1" applyAlignment="1">
      <alignment horizontal="center" vertical="center" wrapText="1"/>
    </xf>
    <xf numFmtId="0" fontId="29" fillId="9" borderId="0" xfId="8" applyFont="1" applyFill="1" applyAlignment="1">
      <alignment horizontal="left" vertical="top" wrapText="1"/>
    </xf>
    <xf numFmtId="0" fontId="28" fillId="9" borderId="0" xfId="8" applyFont="1" applyFill="1" applyAlignment="1">
      <alignment horizontal="left" vertical="top"/>
    </xf>
    <xf numFmtId="0" fontId="29" fillId="9" borderId="0" xfId="8" applyFont="1" applyFill="1" applyAlignment="1">
      <alignment horizontal="center" vertical="center"/>
    </xf>
    <xf numFmtId="0" fontId="28" fillId="0" borderId="0" xfId="8" applyFont="1" applyAlignment="1">
      <alignment horizontal="left" vertical="top"/>
    </xf>
    <xf numFmtId="0" fontId="28" fillId="8" borderId="0" xfId="8" applyFont="1" applyFill="1" applyAlignment="1">
      <alignment horizontal="left" vertical="top" wrapText="1"/>
    </xf>
    <xf numFmtId="0" fontId="29" fillId="8" borderId="0" xfId="8" applyFont="1" applyFill="1" applyAlignment="1">
      <alignment horizontal="center" vertical="center" wrapText="1"/>
    </xf>
    <xf numFmtId="0" fontId="29" fillId="8" borderId="0" xfId="8" applyFont="1" applyFill="1" applyAlignment="1">
      <alignment horizontal="left" vertical="top" wrapText="1"/>
    </xf>
    <xf numFmtId="0" fontId="28" fillId="8" borderId="0" xfId="8" applyFont="1" applyFill="1" applyAlignment="1">
      <alignment horizontal="left" vertical="top"/>
    </xf>
    <xf numFmtId="0" fontId="29" fillId="8" borderId="0" xfId="8" applyFont="1" applyFill="1" applyAlignment="1">
      <alignment horizontal="center" vertical="center"/>
    </xf>
    <xf numFmtId="0" fontId="32" fillId="9" borderId="0" xfId="8" applyFont="1" applyFill="1" applyAlignment="1">
      <alignment horizontal="left" vertical="top" wrapText="1"/>
    </xf>
    <xf numFmtId="0" fontId="32" fillId="9" borderId="0" xfId="8" applyFont="1" applyFill="1" applyAlignment="1">
      <alignment horizontal="center" vertical="top" wrapText="1"/>
    </xf>
    <xf numFmtId="0" fontId="12" fillId="8" borderId="0" xfId="8" applyFont="1" applyFill="1" applyAlignment="1">
      <alignment vertical="top" wrapText="1"/>
    </xf>
    <xf numFmtId="0" fontId="12" fillId="8" borderId="0" xfId="8" applyFont="1" applyFill="1" applyAlignment="1">
      <alignment horizontal="left" vertical="top" wrapText="1"/>
    </xf>
    <xf numFmtId="0" fontId="25" fillId="8" borderId="0" xfId="8" applyFont="1" applyFill="1" applyAlignment="1">
      <alignment vertical="top" wrapText="1"/>
    </xf>
    <xf numFmtId="0" fontId="14" fillId="9" borderId="11" xfId="8" applyFont="1" applyFill="1" applyBorder="1" applyAlignment="1">
      <alignment horizontal="center" vertical="center" wrapText="1"/>
    </xf>
    <xf numFmtId="0" fontId="14" fillId="8" borderId="0" xfId="8" applyFont="1" applyFill="1" applyAlignment="1">
      <alignment horizontal="left" vertical="top" wrapText="1"/>
    </xf>
    <xf numFmtId="0" fontId="12" fillId="8" borderId="0" xfId="8" applyFont="1" applyFill="1" applyAlignment="1">
      <alignment horizontal="left" vertical="top"/>
    </xf>
    <xf numFmtId="0" fontId="14" fillId="8" borderId="0" xfId="8" applyFont="1" applyFill="1" applyAlignment="1">
      <alignment horizontal="center" vertical="center"/>
    </xf>
    <xf numFmtId="0" fontId="12" fillId="0" borderId="0" xfId="8" applyFont="1" applyAlignment="1">
      <alignment horizontal="left" vertical="top"/>
    </xf>
    <xf numFmtId="0" fontId="12" fillId="9" borderId="0" xfId="8" applyFont="1" applyFill="1" applyAlignment="1">
      <alignment vertical="top" wrapText="1"/>
    </xf>
    <xf numFmtId="0" fontId="12" fillId="9" borderId="0" xfId="8" applyFont="1" applyFill="1" applyAlignment="1">
      <alignment horizontal="left" vertical="top" wrapText="1"/>
    </xf>
    <xf numFmtId="0" fontId="25" fillId="9" borderId="0" xfId="8" applyFont="1" applyFill="1" applyAlignment="1">
      <alignment vertical="top" wrapText="1"/>
    </xf>
    <xf numFmtId="0" fontId="14" fillId="9" borderId="0" xfId="8" applyFont="1" applyFill="1" applyAlignment="1">
      <alignment horizontal="center" vertical="center" wrapText="1"/>
    </xf>
    <xf numFmtId="0" fontId="14" fillId="9" borderId="0" xfId="8" applyFont="1" applyFill="1" applyAlignment="1">
      <alignment horizontal="left" vertical="top" wrapText="1"/>
    </xf>
    <xf numFmtId="0" fontId="12" fillId="9" borderId="0" xfId="8" applyFont="1" applyFill="1" applyAlignment="1">
      <alignment horizontal="left" vertical="top"/>
    </xf>
    <xf numFmtId="0" fontId="14" fillId="9" borderId="0" xfId="8" applyFont="1" applyFill="1" applyAlignment="1">
      <alignment horizontal="center" vertical="center"/>
    </xf>
    <xf numFmtId="0" fontId="33" fillId="8" borderId="0" xfId="8" applyFont="1" applyFill="1" applyAlignment="1">
      <alignment horizontal="left" vertical="top" wrapText="1"/>
    </xf>
    <xf numFmtId="0" fontId="33" fillId="8" borderId="0" xfId="8" applyFont="1" applyFill="1" applyAlignment="1">
      <alignment horizontal="center" vertical="top" wrapText="1"/>
    </xf>
    <xf numFmtId="0" fontId="24" fillId="10" borderId="0" xfId="8" applyFont="1" applyFill="1" applyAlignment="1">
      <alignment horizontal="left" vertical="top"/>
    </xf>
    <xf numFmtId="0" fontId="28" fillId="10" borderId="0" xfId="8" applyFont="1" applyFill="1" applyAlignment="1">
      <alignment horizontal="left" vertical="top"/>
    </xf>
    <xf numFmtId="0" fontId="35" fillId="0" borderId="0" xfId="0" applyFont="1" applyAlignment="1">
      <alignment horizontal="center" vertical="center"/>
    </xf>
    <xf numFmtId="0" fontId="36" fillId="2" borderId="6" xfId="0" applyFont="1" applyFill="1" applyBorder="1" applyAlignment="1">
      <alignment horizontal="center" vertical="center" wrapText="1"/>
    </xf>
    <xf numFmtId="0" fontId="14" fillId="11" borderId="7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25" fillId="0" borderId="0" xfId="8" applyFont="1" applyAlignment="1">
      <alignment vertical="top" wrapText="1"/>
    </xf>
    <xf numFmtId="0" fontId="25" fillId="0" borderId="0" xfId="8" applyFont="1" applyAlignment="1">
      <alignment horizontal="left" vertical="top" wrapText="1"/>
    </xf>
    <xf numFmtId="0" fontId="25" fillId="9" borderId="0" xfId="8" applyFont="1" applyFill="1" applyAlignment="1">
      <alignment horizontal="left" vertical="top" wrapText="1"/>
    </xf>
    <xf numFmtId="0" fontId="25" fillId="8" borderId="0" xfId="8" applyFont="1" applyFill="1" applyAlignment="1">
      <alignment horizontal="left" vertical="top" wrapText="1"/>
    </xf>
    <xf numFmtId="0" fontId="19" fillId="8" borderId="0" xfId="8" applyFont="1" applyFill="1" applyAlignment="1">
      <alignment horizontal="center" vertical="center" wrapText="1"/>
    </xf>
    <xf numFmtId="0" fontId="19" fillId="9" borderId="0" xfId="8" applyFont="1" applyFill="1" applyAlignment="1">
      <alignment horizontal="center" vertical="center" wrapText="1"/>
    </xf>
    <xf numFmtId="0" fontId="19" fillId="8" borderId="0" xfId="8" applyFont="1" applyFill="1" applyAlignment="1">
      <alignment horizontal="left" vertical="top" wrapText="1"/>
    </xf>
    <xf numFmtId="0" fontId="19" fillId="9" borderId="0" xfId="8" applyFont="1" applyFill="1" applyAlignment="1">
      <alignment horizontal="left" vertical="top" wrapText="1"/>
    </xf>
    <xf numFmtId="0" fontId="38" fillId="0" borderId="0" xfId="0" applyFont="1" applyAlignment="1">
      <alignment horizontal="left" vertical="top" wrapText="1"/>
    </xf>
    <xf numFmtId="0" fontId="3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5" borderId="8" xfId="8" applyFill="1" applyBorder="1" applyAlignment="1">
      <alignment horizontal="center" vertical="center" wrapText="1"/>
    </xf>
    <xf numFmtId="0" fontId="7" fillId="5" borderId="9" xfId="8" applyFill="1" applyBorder="1" applyAlignment="1">
      <alignment horizontal="center" vertical="center" wrapText="1"/>
    </xf>
    <xf numFmtId="0" fontId="7" fillId="5" borderId="10" xfId="8" applyFill="1" applyBorder="1" applyAlignment="1">
      <alignment horizontal="center" vertical="center" wrapText="1"/>
    </xf>
    <xf numFmtId="0" fontId="18" fillId="0" borderId="0" xfId="8" applyFont="1" applyAlignment="1">
      <alignment horizontal="left" vertical="center"/>
    </xf>
    <xf numFmtId="0" fontId="15" fillId="4" borderId="2" xfId="8" applyFont="1" applyFill="1" applyBorder="1" applyAlignment="1">
      <alignment horizontal="center" vertical="center" wrapText="1"/>
    </xf>
    <xf numFmtId="0" fontId="15" fillId="4" borderId="0" xfId="8" applyFont="1" applyFill="1" applyAlignment="1">
      <alignment horizontal="center" vertical="center" wrapText="1"/>
    </xf>
    <xf numFmtId="0" fontId="15" fillId="4" borderId="1" xfId="8" applyFont="1" applyFill="1" applyBorder="1" applyAlignment="1">
      <alignment horizontal="center" vertical="center" wrapText="1"/>
    </xf>
    <xf numFmtId="0" fontId="14" fillId="6" borderId="8" xfId="8" applyFont="1" applyFill="1" applyBorder="1" applyAlignment="1">
      <alignment horizontal="center" vertical="center" wrapText="1"/>
    </xf>
    <xf numFmtId="0" fontId="14" fillId="6" borderId="9" xfId="8" applyFont="1" applyFill="1" applyBorder="1" applyAlignment="1">
      <alignment horizontal="center" vertical="center" wrapText="1"/>
    </xf>
    <xf numFmtId="0" fontId="14" fillId="6" borderId="10" xfId="8" applyFont="1" applyFill="1" applyBorder="1" applyAlignment="1">
      <alignment horizontal="center" vertical="center" wrapText="1"/>
    </xf>
    <xf numFmtId="0" fontId="14" fillId="5" borderId="8" xfId="8" applyFont="1" applyFill="1" applyBorder="1" applyAlignment="1">
      <alignment horizontal="center" vertical="center" wrapText="1"/>
    </xf>
    <xf numFmtId="0" fontId="14" fillId="5" borderId="9" xfId="8" applyFont="1" applyFill="1" applyBorder="1" applyAlignment="1">
      <alignment horizontal="center" vertical="center" wrapText="1"/>
    </xf>
    <xf numFmtId="0" fontId="14" fillId="5" borderId="10" xfId="8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</cellXfs>
  <cellStyles count="14">
    <cellStyle name="Normal" xfId="0" builtinId="0"/>
    <cellStyle name="Normal 2" xfId="4" xr:uid="{00000000-0005-0000-0000-000001000000}"/>
    <cellStyle name="Normal 3" xfId="6" xr:uid="{00000000-0005-0000-0000-000002000000}"/>
    <cellStyle name="Normal 4" xfId="7" xr:uid="{00000000-0005-0000-0000-000003000000}"/>
    <cellStyle name="Normal 5" xfId="8" xr:uid="{00000000-0005-0000-0000-000004000000}"/>
    <cellStyle name="Normal 6" xfId="9" xr:uid="{00000000-0005-0000-0000-000005000000}"/>
    <cellStyle name="Normal 6 2" xfId="10" xr:uid="{00000000-0005-0000-0000-000006000000}"/>
    <cellStyle name="Normal 7" xfId="11" xr:uid="{00000000-0005-0000-0000-000007000000}"/>
    <cellStyle name="Normal 8" xfId="12" xr:uid="{00000000-0005-0000-0000-000008000000}"/>
    <cellStyle name="Normal 9" xfId="13" xr:uid="{00000000-0005-0000-0000-000009000000}"/>
    <cellStyle name="常规 2" xfId="1" xr:uid="{00000000-0005-0000-0000-00000A000000}"/>
    <cellStyle name="常规 2 2" xfId="5" xr:uid="{00000000-0005-0000-0000-00000B000000}"/>
    <cellStyle name="常规 3" xfId="2" xr:uid="{00000000-0005-0000-0000-00000C000000}"/>
    <cellStyle name="超链接 2" xfId="3" xr:uid="{00000000-0005-0000-0000-00000D000000}"/>
  </cellStyles>
  <dxfs count="190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b/>
        <i/>
        <strike val="0"/>
      </font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b/>
        <i/>
        <strike val="0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/>
        <strike val="0"/>
      </font>
    </dxf>
    <dxf>
      <font>
        <color theme="1"/>
      </font>
      <fill>
        <patternFill patternType="solid">
          <bgColor rgb="FFFFC0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b/>
        <i/>
        <strike val="0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b/>
        <i/>
        <strike val="0"/>
      </font>
    </dxf>
    <dxf>
      <font>
        <color theme="1"/>
      </font>
      <fill>
        <patternFill patternType="solid">
          <bgColor rgb="FFFFC000"/>
        </patternFill>
      </fill>
    </dxf>
    <dxf>
      <font>
        <b/>
        <i val="0"/>
      </font>
      <fill>
        <patternFill patternType="solid">
          <bgColor rgb="FFFFC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theme="9" tint="0.59996337778862885"/>
        </patternFill>
      </fill>
    </dxf>
    <dxf>
      <font>
        <b/>
        <i val="0"/>
      </font>
      <fill>
        <patternFill patternType="solid">
          <bgColor theme="7" tint="0.59996337778862885"/>
        </patternFill>
      </fill>
    </dxf>
    <dxf>
      <font>
        <b/>
        <i val="0"/>
      </font>
      <fill>
        <patternFill patternType="solid">
          <bgColor theme="9" tint="0.59996337778862885"/>
        </patternFill>
      </fill>
    </dxf>
    <dxf>
      <font>
        <b/>
        <i val="0"/>
      </font>
      <fill>
        <patternFill patternType="solid">
          <bgColor theme="7" tint="0.59996337778862885"/>
        </patternFill>
      </fill>
    </dxf>
    <dxf>
      <font>
        <b/>
        <i val="0"/>
      </font>
      <fill>
        <patternFill patternType="solid">
          <bgColor rgb="FFFFC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rgb="FFFFC000"/>
        </patternFill>
      </fill>
    </dxf>
    <dxf>
      <font>
        <b/>
        <i val="0"/>
      </font>
      <fill>
        <patternFill patternType="solid">
          <bgColor theme="7" tint="0.59996337778862885"/>
        </patternFill>
      </fill>
    </dxf>
    <dxf>
      <font>
        <b/>
        <i val="0"/>
      </font>
      <fill>
        <patternFill patternType="solid">
          <bgColor theme="9" tint="0.59996337778862885"/>
        </patternFill>
      </fill>
    </dxf>
    <dxf>
      <font>
        <b/>
        <i val="0"/>
      </font>
      <fill>
        <patternFill patternType="solid">
          <bgColor theme="7" tint="0.59996337778862885"/>
        </patternFill>
      </fill>
    </dxf>
    <dxf>
      <font>
        <b/>
        <i val="0"/>
      </font>
      <fill>
        <patternFill patternType="solid">
          <bgColor rgb="FFFFC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theme="9" tint="0.59996337778862885"/>
        </patternFill>
      </fill>
    </dxf>
    <dxf>
      <font>
        <b/>
        <i val="0"/>
      </font>
      <fill>
        <patternFill patternType="solid">
          <bgColor theme="9" tint="0.59996337778862885"/>
        </patternFill>
      </fill>
    </dxf>
    <dxf>
      <font>
        <b/>
        <i val="0"/>
      </font>
      <fill>
        <patternFill patternType="solid">
          <bgColor theme="7" tint="0.59996337778862885"/>
        </patternFill>
      </fill>
    </dxf>
    <dxf>
      <font>
        <b/>
        <i val="0"/>
      </font>
      <fill>
        <patternFill patternType="solid">
          <bgColor rgb="FFFFC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theme="9" tint="0.59996337778862885"/>
        </patternFill>
      </fill>
    </dxf>
    <dxf>
      <font>
        <b/>
        <i val="0"/>
      </font>
      <fill>
        <patternFill patternType="solid">
          <bgColor theme="7" tint="0.59996337778862885"/>
        </patternFill>
      </fill>
    </dxf>
    <dxf>
      <font>
        <b/>
        <i val="0"/>
      </font>
      <fill>
        <patternFill patternType="solid">
          <bgColor rgb="FFFFC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b/>
        <i/>
        <strike val="0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b/>
        <i/>
        <strike val="0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b/>
        <i/>
        <strike val="0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/>
        <strike val="0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b/>
        <i/>
        <strike val="0"/>
      </font>
    </dxf>
    <dxf>
      <font>
        <color theme="1"/>
      </font>
      <fill>
        <patternFill patternType="solid">
          <bgColor rgb="FFFFC0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b/>
        <i/>
        <strike val="0"/>
      </font>
    </dxf>
    <dxf>
      <font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theme="9" tint="0.59996337778862885"/>
        </patternFill>
      </fill>
    </dxf>
    <dxf>
      <font>
        <b/>
        <i val="0"/>
      </font>
      <fill>
        <patternFill patternType="solid">
          <bgColor theme="7" tint="0.59996337778862885"/>
        </patternFill>
      </fill>
    </dxf>
    <dxf>
      <font>
        <b/>
        <i val="0"/>
      </font>
      <fill>
        <patternFill patternType="solid">
          <bgColor rgb="FFFFC000"/>
        </patternFill>
      </fill>
    </dxf>
    <dxf>
      <font>
        <b/>
        <i val="0"/>
      </font>
      <fill>
        <patternFill patternType="solid">
          <bgColor rgb="FFFFC000"/>
        </patternFill>
      </fill>
    </dxf>
    <dxf>
      <font>
        <b/>
        <i val="0"/>
      </font>
      <fill>
        <patternFill patternType="solid">
          <bgColor theme="7" tint="0.59996337778862885"/>
        </patternFill>
      </fill>
    </dxf>
    <dxf>
      <font>
        <b/>
        <i val="0"/>
      </font>
      <fill>
        <patternFill patternType="solid">
          <bgColor theme="9" tint="0.59996337778862885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b/>
        <i/>
        <strike val="0"/>
      </font>
    </dxf>
    <dxf>
      <font>
        <color theme="1"/>
      </font>
      <fill>
        <patternFill patternType="solid">
          <bgColor rgb="FFFFC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rgb="FFFFC000"/>
        </patternFill>
      </fill>
    </dxf>
    <dxf>
      <font>
        <b/>
        <i val="0"/>
      </font>
      <fill>
        <patternFill patternType="solid">
          <bgColor theme="7" tint="0.59996337778862885"/>
        </patternFill>
      </fill>
    </dxf>
    <dxf>
      <font>
        <b/>
        <i val="0"/>
      </font>
      <fill>
        <patternFill patternType="solid">
          <bgColor theme="9" tint="0.59996337778862885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b/>
        <i/>
        <strike val="0"/>
      </font>
    </dxf>
    <dxf>
      <font>
        <color theme="1"/>
      </font>
      <fill>
        <patternFill patternType="solid">
          <bgColor rgb="FFFFC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rgb="FFFFC000"/>
        </patternFill>
      </fill>
    </dxf>
    <dxf>
      <font>
        <b/>
        <i val="0"/>
      </font>
      <fill>
        <patternFill patternType="solid">
          <bgColor theme="7" tint="0.59996337778862885"/>
        </patternFill>
      </fill>
    </dxf>
    <dxf>
      <font>
        <b/>
        <i val="0"/>
      </font>
      <fill>
        <patternFill patternType="solid">
          <bgColor theme="9" tint="0.59996337778862885"/>
        </patternFill>
      </fill>
    </dxf>
    <dxf>
      <font>
        <strike val="0"/>
        <u val="none"/>
        <sz val="12"/>
        <color theme="1"/>
        <name val="宋体"/>
        <scheme val="none"/>
      </font>
    </dxf>
    <dxf>
      <font>
        <strike val="0"/>
        <u val="none"/>
        <sz val="12"/>
        <color theme="1"/>
        <name val="宋体"/>
        <scheme val="none"/>
      </font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/>
    </dxf>
    <dxf>
      <font>
        <b/>
        <i val="0"/>
        <strike val="0"/>
        <u val="none"/>
        <sz val="12"/>
        <color theme="1"/>
        <name val="宋体"/>
        <scheme val="none"/>
      </font>
      <alignment horizontal="center" vertical="center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b/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</dxf>
    <dxf>
      <font>
        <strike val="0"/>
        <u val="none"/>
        <sz val="12"/>
        <color theme="1"/>
        <name val="宋体"/>
        <scheme val="none"/>
      </font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/>
    </dxf>
    <dxf>
      <font>
        <b/>
        <i val="0"/>
        <strike val="0"/>
        <u val="none"/>
        <sz val="12"/>
        <color theme="1"/>
        <name val="宋体"/>
        <scheme val="none"/>
      </font>
      <alignment horizontal="center" vertical="center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b/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</dxf>
    <dxf>
      <font>
        <strike val="0"/>
        <u val="none"/>
        <sz val="12"/>
        <color theme="1"/>
        <name val="宋体"/>
        <scheme val="none"/>
      </font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/>
    </dxf>
    <dxf>
      <font>
        <b/>
        <i val="0"/>
        <strike val="0"/>
        <u val="none"/>
        <sz val="12"/>
        <color theme="1"/>
        <name val="宋体"/>
        <scheme val="none"/>
      </font>
      <alignment horizontal="center" vertical="center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b/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u val="none"/>
        <sz val="12"/>
        <color theme="1"/>
        <name val="宋体"/>
        <scheme val="none"/>
      </font>
      <alignment horizontal="left" vertical="top"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strike val="0"/>
        <u val="none"/>
        <sz val="12"/>
        <color theme="1"/>
        <name val="宋体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rgb="FFFF0000"/>
        <name val="Calibri"/>
        <scheme val="minor"/>
      </font>
      <alignment horizontal="left" vertical="top"/>
    </dxf>
    <dxf>
      <font>
        <b/>
        <i val="0"/>
        <strike val="0"/>
        <outline val="0"/>
        <shadow val="0"/>
        <u val="none"/>
        <vertAlign val="baseline"/>
        <sz val="12"/>
        <color rgb="FFFF0000"/>
        <name val="Calibri"/>
        <scheme val="minor"/>
      </font>
      <alignment horizontal="center" vertical="center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top"/>
    </dxf>
    <dxf>
      <font>
        <b val="0"/>
        <i val="0"/>
        <strike val="0"/>
        <outline val="0"/>
        <shadow val="0"/>
        <u val="none"/>
        <vertAlign val="baseline"/>
        <sz val="12"/>
        <color rgb="FFFF0000"/>
        <name val="Calibri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rgb="FFFF0000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rgb="FFFF0000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rgb="FFFF0000"/>
        <name val="Calibri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Calibri"/>
        <scheme val="minor"/>
      </font>
      <alignment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FF0000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135286</xdr:colOff>
      <xdr:row>15</xdr:row>
      <xdr:rowOff>0</xdr:rowOff>
    </xdr:from>
    <xdr:to>
      <xdr:col>14</xdr:col>
      <xdr:colOff>10695709</xdr:colOff>
      <xdr:row>30</xdr:row>
      <xdr:rowOff>163009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23104" y="26349677"/>
          <a:ext cx="10560423" cy="2884437"/>
        </a:xfrm>
        <a:prstGeom prst="rect">
          <a:avLst/>
        </a:prstGeom>
      </xdr:spPr>
    </xdr:pic>
    <xdr:clientData/>
  </xdr:twoCellAnchor>
  <xdr:twoCellAnchor editAs="oneCell">
    <xdr:from>
      <xdr:col>14</xdr:col>
      <xdr:colOff>96982</xdr:colOff>
      <xdr:row>15</xdr:row>
      <xdr:rowOff>0</xdr:rowOff>
    </xdr:from>
    <xdr:to>
      <xdr:col>14</xdr:col>
      <xdr:colOff>10737273</xdr:colOff>
      <xdr:row>31</xdr:row>
      <xdr:rowOff>896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784800" y="30518699"/>
          <a:ext cx="10640291" cy="2903753"/>
        </a:xfrm>
        <a:prstGeom prst="rect">
          <a:avLst/>
        </a:prstGeom>
      </xdr:spPr>
    </xdr:pic>
    <xdr:clientData/>
  </xdr:twoCellAnchor>
  <xdr:twoCellAnchor editAs="oneCell">
    <xdr:from>
      <xdr:col>14</xdr:col>
      <xdr:colOff>138547</xdr:colOff>
      <xdr:row>15</xdr:row>
      <xdr:rowOff>0</xdr:rowOff>
    </xdr:from>
    <xdr:to>
      <xdr:col>14</xdr:col>
      <xdr:colOff>10406876</xdr:colOff>
      <xdr:row>27</xdr:row>
      <xdr:rowOff>181133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826365" y="50773906"/>
          <a:ext cx="10268329" cy="2358276"/>
        </a:xfrm>
        <a:prstGeom prst="rect">
          <a:avLst/>
        </a:prstGeom>
      </xdr:spPr>
    </xdr:pic>
    <xdr:clientData/>
  </xdr:twoCellAnchor>
  <xdr:twoCellAnchor editAs="oneCell">
    <xdr:from>
      <xdr:col>14</xdr:col>
      <xdr:colOff>110837</xdr:colOff>
      <xdr:row>15</xdr:row>
      <xdr:rowOff>0</xdr:rowOff>
    </xdr:from>
    <xdr:to>
      <xdr:col>14</xdr:col>
      <xdr:colOff>10446327</xdr:colOff>
      <xdr:row>29</xdr:row>
      <xdr:rowOff>46952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798655" y="53230106"/>
          <a:ext cx="10335490" cy="2586952"/>
        </a:xfrm>
        <a:prstGeom prst="rect">
          <a:avLst/>
        </a:prstGeom>
      </xdr:spPr>
    </xdr:pic>
    <xdr:clientData/>
  </xdr:twoCellAnchor>
  <xdr:twoCellAnchor editAs="oneCell">
    <xdr:from>
      <xdr:col>14</xdr:col>
      <xdr:colOff>306779</xdr:colOff>
      <xdr:row>15</xdr:row>
      <xdr:rowOff>0</xdr:rowOff>
    </xdr:from>
    <xdr:to>
      <xdr:col>14</xdr:col>
      <xdr:colOff>13219216</xdr:colOff>
      <xdr:row>25</xdr:row>
      <xdr:rowOff>69510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971836" y="54506045"/>
          <a:ext cx="12912437" cy="1883796"/>
        </a:xfrm>
        <a:prstGeom prst="rect">
          <a:avLst/>
        </a:prstGeom>
      </xdr:spPr>
    </xdr:pic>
    <xdr:clientData/>
  </xdr:twoCellAnchor>
  <xdr:twoCellAnchor editAs="oneCell">
    <xdr:from>
      <xdr:col>14</xdr:col>
      <xdr:colOff>942109</xdr:colOff>
      <xdr:row>15</xdr:row>
      <xdr:rowOff>0</xdr:rowOff>
    </xdr:from>
    <xdr:to>
      <xdr:col>14</xdr:col>
      <xdr:colOff>9487227</xdr:colOff>
      <xdr:row>57</xdr:row>
      <xdr:rowOff>105400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629927" y="56956036"/>
          <a:ext cx="8545118" cy="74400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iairways365.sharepoint.com/sites/DP-DP-A/Shared%20Documents/CrewSE%20UAT_USE/Pilot/20250609%20TG%20UAT%20test%20cases%20-%20V1.0_use%20(Cabin%20ROSTER%20TEST)_21JUL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"/>
      <sheetName val="4.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Table429309" displayName="Table429309" ref="A13:U15" totalsRowShown="0">
  <autoFilter ref="A13:U15" xr:uid="{00000000-0009-0000-0100-000008000000}"/>
  <tableColumns count="21">
    <tableColumn id="1" xr3:uid="{00000000-0010-0000-0000-000001000000}" name="Component:" dataDxfId="167"/>
    <tableColumn id="2" xr3:uid="{00000000-0010-0000-0000-000002000000}" name="REF:" dataDxfId="166"/>
    <tableColumn id="11" xr3:uid="{00000000-0010-0000-0000-00000B000000}" name="LSY REF:" dataDxfId="165"/>
    <tableColumn id="21" xr3:uid="{00000000-0010-0000-0000-000015000000}" name="LSY RULE #" dataDxfId="164"/>
    <tableColumn id="3" xr3:uid="{00000000-0010-0000-0000-000003000000}" name="Description:" dataDxfId="163"/>
    <tableColumn id="4" xr3:uid="{00000000-0010-0000-0000-000004000000}" name="Test Action:" dataDxfId="162"/>
    <tableColumn id="5" xr3:uid="{00000000-0010-0000-0000-000005000000}" name="Test Steps:" dataDxfId="161"/>
    <tableColumn id="6" xr3:uid="{00000000-0010-0000-0000-000006000000}" name="Expected Result:" dataDxfId="160"/>
    <tableColumn id="12" xr3:uid="{00000000-0010-0000-0000-00000C000000}" name="Severity" dataDxfId="159"/>
    <tableColumn id="7" xr3:uid="{00000000-0010-0000-0000-000007000000}" name="UAT 1" dataDxfId="158"/>
    <tableColumn id="8" xr3:uid="{00000000-0010-0000-0000-000008000000}" name="Screenshot:_x000a_REF1" dataDxfId="157"/>
    <tableColumn id="17" xr3:uid="{00000000-0010-0000-0000-000011000000}" name="Comments/ Notes: 1" dataDxfId="156"/>
    <tableColumn id="19" xr3:uid="{00000000-0010-0000-0000-000013000000}" name="Tested by: 1" dataDxfId="155"/>
    <tableColumn id="13" xr3:uid="{00000000-0010-0000-0000-00000D000000}" name="UAT 2" dataDxfId="154"/>
    <tableColumn id="14" xr3:uid="{00000000-0010-0000-0000-00000E000000}" name="Screenshot:_x000a_REF2" dataDxfId="153"/>
    <tableColumn id="18" xr3:uid="{00000000-0010-0000-0000-000012000000}" name="Comments/ Notes:2" dataDxfId="152"/>
    <tableColumn id="20" xr3:uid="{00000000-0010-0000-0000-000014000000}" name="Tested by:2" dataDxfId="151"/>
    <tableColumn id="15" xr3:uid="{00000000-0010-0000-0000-00000F000000}" name="UAT 3" dataDxfId="150"/>
    <tableColumn id="16" xr3:uid="{00000000-0010-0000-0000-000010000000}" name="Screenshot:_x000a_REF3" dataDxfId="149"/>
    <tableColumn id="9" xr3:uid="{00000000-0010-0000-0000-000009000000}" name="Comments/ Notes:3" dataDxfId="148"/>
    <tableColumn id="10" xr3:uid="{00000000-0010-0000-0000-00000A000000}" name="Tested by:3" dataDxfId="147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1000000}" name="Table4293020" displayName="Table4293020" ref="A13:U15" totalsRowShown="0">
  <autoFilter ref="A13:U15" xr:uid="{00000000-0009-0000-0100-000013000000}"/>
  <tableColumns count="21">
    <tableColumn id="1" xr3:uid="{00000000-0010-0000-0100-000001000000}" name="Component:" dataDxfId="146"/>
    <tableColumn id="2" xr3:uid="{00000000-0010-0000-0100-000002000000}" name="REF:" dataDxfId="145"/>
    <tableColumn id="11" xr3:uid="{00000000-0010-0000-0100-00000B000000}" name="LSY REF:" dataDxfId="144"/>
    <tableColumn id="21" xr3:uid="{00000000-0010-0000-0100-000015000000}" name="LSY RULE #" dataDxfId="143"/>
    <tableColumn id="3" xr3:uid="{00000000-0010-0000-0100-000003000000}" name="Description:" dataDxfId="142"/>
    <tableColumn id="4" xr3:uid="{00000000-0010-0000-0100-000004000000}" name="Test Action:" dataDxfId="141"/>
    <tableColumn id="5" xr3:uid="{00000000-0010-0000-0100-000005000000}" name="Test Steps:" dataDxfId="140"/>
    <tableColumn id="6" xr3:uid="{00000000-0010-0000-0100-000006000000}" name="Expected Result:" dataDxfId="139"/>
    <tableColumn id="12" xr3:uid="{00000000-0010-0000-0100-00000C000000}" name="Severity" dataDxfId="138"/>
    <tableColumn id="7" xr3:uid="{00000000-0010-0000-0100-000007000000}" name="UAT 1" dataDxfId="137"/>
    <tableColumn id="8" xr3:uid="{00000000-0010-0000-0100-000008000000}" name="Screenshot:_x000a_REF1" dataDxfId="136"/>
    <tableColumn id="17" xr3:uid="{00000000-0010-0000-0100-000011000000}" name="Comments/ Notes: 1" dataDxfId="135"/>
    <tableColumn id="19" xr3:uid="{00000000-0010-0000-0100-000013000000}" name="Tested by: 1" dataDxfId="134"/>
    <tableColumn id="13" xr3:uid="{00000000-0010-0000-0100-00000D000000}" name="UAT 2" dataDxfId="133"/>
    <tableColumn id="14" xr3:uid="{00000000-0010-0000-0100-00000E000000}" name="Screenshot:_x000a_REF2" dataDxfId="132"/>
    <tableColumn id="18" xr3:uid="{00000000-0010-0000-0100-000012000000}" name="Comments/ Notes:2" dataDxfId="131"/>
    <tableColumn id="20" xr3:uid="{00000000-0010-0000-0100-000014000000}" name="Tested by:2" dataDxfId="130"/>
    <tableColumn id="15" xr3:uid="{00000000-0010-0000-0100-00000F000000}" name="UAT 3" dataDxfId="129"/>
    <tableColumn id="16" xr3:uid="{00000000-0010-0000-0100-000010000000}" name="Screenshot:_x000a_REF3" dataDxfId="128"/>
    <tableColumn id="9" xr3:uid="{00000000-0010-0000-0100-000009000000}" name="Comments/ Notes:3" dataDxfId="127"/>
    <tableColumn id="10" xr3:uid="{00000000-0010-0000-0100-00000A000000}" name="Tested by:3" dataDxfId="126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e42930356" displayName="Table42930356" ref="A13:U21" totalsRowShown="0">
  <autoFilter ref="A13:U21" xr:uid="{00000000-0009-0000-0100-000005000000}"/>
  <tableColumns count="21">
    <tableColumn id="1" xr3:uid="{00000000-0010-0000-0600-000001000000}" name="Component:" dataDxfId="125"/>
    <tableColumn id="2" xr3:uid="{00000000-0010-0000-0600-000002000000}" name="REF:" dataDxfId="124"/>
    <tableColumn id="11" xr3:uid="{00000000-0010-0000-0600-00000B000000}" name="LSY REF:" dataDxfId="123"/>
    <tableColumn id="21" xr3:uid="{00000000-0010-0000-0600-000015000000}" name="LSY RULE #" dataDxfId="122"/>
    <tableColumn id="3" xr3:uid="{00000000-0010-0000-0600-000003000000}" name="Description:" dataDxfId="121"/>
    <tableColumn id="4" xr3:uid="{00000000-0010-0000-0600-000004000000}" name="Test Action:" dataDxfId="120"/>
    <tableColumn id="5" xr3:uid="{00000000-0010-0000-0600-000005000000}" name="Test Steps:" dataDxfId="119"/>
    <tableColumn id="6" xr3:uid="{00000000-0010-0000-0600-000006000000}" name="Expected Result:" dataDxfId="118"/>
    <tableColumn id="12" xr3:uid="{00000000-0010-0000-0600-00000C000000}" name="Severity" dataDxfId="117"/>
    <tableColumn id="7" xr3:uid="{00000000-0010-0000-0600-000007000000}" name="UAT 1" dataDxfId="116"/>
    <tableColumn id="8" xr3:uid="{00000000-0010-0000-0600-000008000000}" name="Screenshot:_x000a_REF1" dataDxfId="115"/>
    <tableColumn id="17" xr3:uid="{00000000-0010-0000-0600-000011000000}" name="Comments/ Notes: 1" dataDxfId="114"/>
    <tableColumn id="19" xr3:uid="{00000000-0010-0000-0600-000013000000}" name="Tested by: 1" dataDxfId="113"/>
    <tableColumn id="13" xr3:uid="{00000000-0010-0000-0600-00000D000000}" name="UAT 2" dataDxfId="112"/>
    <tableColumn id="14" xr3:uid="{00000000-0010-0000-0600-00000E000000}" name="Screenshot:_x000a_REF2" dataDxfId="111"/>
    <tableColumn id="18" xr3:uid="{00000000-0010-0000-0600-000012000000}" name="Comments/ Notes:2" dataDxfId="110"/>
    <tableColumn id="20" xr3:uid="{00000000-0010-0000-0600-000014000000}" name="Tested by:2" dataDxfId="109"/>
    <tableColumn id="15" xr3:uid="{00000000-0010-0000-0600-00000F000000}" name="UAT 3" dataDxfId="108"/>
    <tableColumn id="16" xr3:uid="{00000000-0010-0000-0600-000010000000}" name="Screenshot:_x000a_REF3" dataDxfId="107"/>
    <tableColumn id="9" xr3:uid="{00000000-0010-0000-0600-000009000000}" name="Comments/ Notes:3" dataDxfId="106"/>
    <tableColumn id="10" xr3:uid="{00000000-0010-0000-0600-00000A000000}" name="Tested by:3" dataDxfId="105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Table429303537" displayName="Table429303537" ref="A13:U14" totalsRowShown="0" dataDxfId="189">
  <autoFilter ref="A13:U14" xr:uid="{00000000-0009-0000-0100-000001000000}"/>
  <tableColumns count="21">
    <tableColumn id="1" xr3:uid="{00000000-0010-0000-0700-000001000000}" name="Component:" dataDxfId="188"/>
    <tableColumn id="2" xr3:uid="{00000000-0010-0000-0700-000002000000}" name="REF:" dataDxfId="187"/>
    <tableColumn id="11" xr3:uid="{00000000-0010-0000-0700-00000B000000}" name="LSY REF:" dataDxfId="186"/>
    <tableColumn id="21" xr3:uid="{00000000-0010-0000-0700-000015000000}" name="LSY RULE #" dataDxfId="185"/>
    <tableColumn id="3" xr3:uid="{00000000-0010-0000-0700-000003000000}" name="Description:" dataDxfId="184"/>
    <tableColumn id="4" xr3:uid="{00000000-0010-0000-0700-000004000000}" name="Test Action:" dataDxfId="183"/>
    <tableColumn id="5" xr3:uid="{00000000-0010-0000-0700-000005000000}" name="Test Steps:" dataDxfId="182"/>
    <tableColumn id="6" xr3:uid="{00000000-0010-0000-0700-000006000000}" name="Expected Result:" dataDxfId="181"/>
    <tableColumn id="12" xr3:uid="{00000000-0010-0000-0700-00000C000000}" name="Severity" dataDxfId="180"/>
    <tableColumn id="7" xr3:uid="{00000000-0010-0000-0700-000007000000}" name="UAT 1" dataDxfId="179"/>
    <tableColumn id="8" xr3:uid="{00000000-0010-0000-0700-000008000000}" name="Screenshot:_x000a_REF1" dataDxfId="178"/>
    <tableColumn id="17" xr3:uid="{00000000-0010-0000-0700-000011000000}" name="Comments/ Notes: 1" dataDxfId="177"/>
    <tableColumn id="19" xr3:uid="{00000000-0010-0000-0700-000013000000}" name="Tested by: 1" dataDxfId="176"/>
    <tableColumn id="13" xr3:uid="{00000000-0010-0000-0700-00000D000000}" name="UAT 2" dataDxfId="175"/>
    <tableColumn id="14" xr3:uid="{00000000-0010-0000-0700-00000E000000}" name="Screenshot:_x000a_REF2" dataDxfId="174"/>
    <tableColumn id="18" xr3:uid="{00000000-0010-0000-0700-000012000000}" name="Comments/ Notes:2" dataDxfId="173"/>
    <tableColumn id="20" xr3:uid="{00000000-0010-0000-0700-000014000000}" name="Tested by:2" dataDxfId="172"/>
    <tableColumn id="15" xr3:uid="{00000000-0010-0000-0700-00000F000000}" name="UAT 3" dataDxfId="171"/>
    <tableColumn id="16" xr3:uid="{00000000-0010-0000-0700-000010000000}" name="Screenshot:_x000a_REF3" dataDxfId="170"/>
    <tableColumn id="9" xr3:uid="{00000000-0010-0000-0700-000009000000}" name="Comments/ Notes:3" dataDxfId="169"/>
    <tableColumn id="10" xr3:uid="{00000000-0010-0000-0700-00000A000000}" name="Tested by:3" dataDxfId="168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U18"/>
  <sheetViews>
    <sheetView tabSelected="1" zoomScale="125" zoomScaleNormal="85" workbookViewId="0">
      <selection activeCell="E14" sqref="E14"/>
    </sheetView>
  </sheetViews>
  <sheetFormatPr baseColWidth="10" defaultColWidth="9" defaultRowHeight="15"/>
  <cols>
    <col min="1" max="1" width="19.6640625" style="3" bestFit="1" customWidth="1"/>
    <col min="2" max="2" width="11.6640625" style="3" bestFit="1" customWidth="1"/>
    <col min="3" max="3" width="15.5" style="3" bestFit="1" customWidth="1"/>
    <col min="4" max="4" width="17.6640625" style="3" bestFit="1" customWidth="1"/>
    <col min="5" max="5" width="38.6640625" style="3" bestFit="1" customWidth="1"/>
    <col min="6" max="6" width="19.1640625" style="3" bestFit="1" customWidth="1"/>
    <col min="7" max="7" width="51.5" style="3" bestFit="1" customWidth="1"/>
    <col min="8" max="8" width="58.1640625" style="3" bestFit="1" customWidth="1"/>
    <col min="9" max="9" width="47.6640625" style="3" customWidth="1"/>
    <col min="10" max="10" width="14.6640625" style="4" customWidth="1"/>
    <col min="11" max="11" width="170.6640625" style="3" customWidth="1"/>
    <col min="12" max="12" width="27.6640625" style="3" bestFit="1" customWidth="1"/>
    <col min="13" max="13" width="19.1640625" style="5" bestFit="1" customWidth="1"/>
    <col min="14" max="14" width="14.6640625" style="4" customWidth="1"/>
    <col min="15" max="15" width="167" style="3" customWidth="1"/>
    <col min="16" max="16" width="27.33203125" style="3" bestFit="1" customWidth="1"/>
    <col min="17" max="17" width="18.6640625" style="5" bestFit="1" customWidth="1"/>
    <col min="18" max="18" width="14.6640625" style="4" customWidth="1"/>
    <col min="19" max="19" width="18.6640625" style="3" bestFit="1" customWidth="1"/>
    <col min="20" max="20" width="27.33203125" style="3" bestFit="1" customWidth="1"/>
    <col min="21" max="21" width="18.6640625" style="5" bestFit="1" customWidth="1"/>
    <col min="22" max="16384" width="9" style="3"/>
  </cols>
  <sheetData>
    <row r="1" spans="1:21" ht="21.75" customHeight="1">
      <c r="A1" s="6" t="s">
        <v>1</v>
      </c>
      <c r="B1" s="7"/>
      <c r="C1" s="8"/>
      <c r="D1" s="8"/>
      <c r="E1" s="9" t="s">
        <v>2</v>
      </c>
      <c r="F1" s="6"/>
      <c r="G1" s="10"/>
      <c r="H1" s="6"/>
      <c r="J1" s="181" t="s">
        <v>3</v>
      </c>
      <c r="K1" s="181"/>
      <c r="L1" s="59"/>
      <c r="N1" s="181" t="s">
        <v>4</v>
      </c>
      <c r="O1" s="181"/>
      <c r="P1" s="59"/>
      <c r="R1" s="181" t="s">
        <v>5</v>
      </c>
      <c r="S1" s="181"/>
      <c r="T1" s="27"/>
    </row>
    <row r="2" spans="1:21" ht="75" customHeight="1">
      <c r="A2" s="11" t="s">
        <v>6</v>
      </c>
      <c r="B2" s="182" t="s">
        <v>7</v>
      </c>
      <c r="C2" s="183"/>
      <c r="D2" s="184"/>
      <c r="E2" s="11" t="s">
        <v>8</v>
      </c>
      <c r="F2" s="12"/>
      <c r="J2" s="21" t="s">
        <v>9</v>
      </c>
      <c r="K2" s="22">
        <f>COUNTIF(J14:J46,"PASSED")</f>
        <v>0</v>
      </c>
      <c r="L2" s="22"/>
      <c r="N2" s="21" t="s">
        <v>9</v>
      </c>
      <c r="O2" s="22">
        <f>COUNTIF(N14:N46,"PASSED")</f>
        <v>0</v>
      </c>
      <c r="P2" s="22"/>
      <c r="R2" s="21" t="s">
        <v>9</v>
      </c>
      <c r="S2" s="22">
        <f>COUNTIF(R14:R46,"PASSED")</f>
        <v>0</v>
      </c>
      <c r="T2" s="22"/>
    </row>
    <row r="3" spans="1:21" ht="17">
      <c r="A3" s="13" t="s">
        <v>10</v>
      </c>
      <c r="B3" s="178"/>
      <c r="C3" s="179"/>
      <c r="D3" s="180"/>
      <c r="E3" s="13" t="s">
        <v>11</v>
      </c>
      <c r="F3" s="14"/>
      <c r="J3" s="21" t="s">
        <v>12</v>
      </c>
      <c r="K3" s="22">
        <f>COUNTIF(J14:J47,"FAILED")</f>
        <v>0</v>
      </c>
      <c r="L3" s="22"/>
      <c r="N3" s="21" t="s">
        <v>12</v>
      </c>
      <c r="O3" s="22">
        <f>COUNTIF(N14:N47,"FAILED")</f>
        <v>0</v>
      </c>
      <c r="P3" s="22"/>
      <c r="R3" s="21" t="s">
        <v>12</v>
      </c>
      <c r="S3" s="22">
        <f>COUNTIF(R14:R47,"FAILED")</f>
        <v>0</v>
      </c>
      <c r="T3" s="22"/>
    </row>
    <row r="4" spans="1:21" ht="17">
      <c r="A4" s="13" t="s">
        <v>13</v>
      </c>
      <c r="B4" s="178"/>
      <c r="C4" s="179"/>
      <c r="D4" s="180"/>
      <c r="E4" s="13" t="s">
        <v>11</v>
      </c>
      <c r="F4" s="14"/>
      <c r="J4" s="21" t="s">
        <v>15</v>
      </c>
      <c r="K4" s="22">
        <f>COUNTIF(J14:J48,"BLOCKED")</f>
        <v>0</v>
      </c>
      <c r="L4" s="22"/>
      <c r="N4" s="21" t="s">
        <v>15</v>
      </c>
      <c r="O4" s="22">
        <f>COUNTIF(N14:N48,"BLOCKED")</f>
        <v>0</v>
      </c>
      <c r="P4" s="22"/>
      <c r="R4" s="21" t="s">
        <v>15</v>
      </c>
      <c r="S4" s="22">
        <f>COUNTIF(R14:R48,"BLOCKED")</f>
        <v>0</v>
      </c>
      <c r="T4" s="22"/>
    </row>
    <row r="5" spans="1:21" ht="17">
      <c r="A5" s="13" t="s">
        <v>16</v>
      </c>
      <c r="B5" s="175"/>
      <c r="C5" s="176"/>
      <c r="D5" s="177"/>
      <c r="E5" s="13" t="s">
        <v>11</v>
      </c>
      <c r="F5" s="14"/>
      <c r="J5" s="21" t="s">
        <v>17</v>
      </c>
      <c r="K5" s="22">
        <f>COUNTIF(J14:J49,"PARTIAL PASSED")</f>
        <v>0</v>
      </c>
      <c r="L5" s="22"/>
      <c r="N5" s="21" t="s">
        <v>17</v>
      </c>
      <c r="O5" s="22">
        <f>COUNTIF(N14:N49,"PARTIAL PASSED")</f>
        <v>0</v>
      </c>
      <c r="P5" s="22"/>
      <c r="R5" s="21" t="s">
        <v>17</v>
      </c>
      <c r="S5" s="22">
        <f>COUNTIF(R14:R49,"PARTIAL PASSED")</f>
        <v>0</v>
      </c>
      <c r="T5" s="22"/>
    </row>
    <row r="6" spans="1:21" ht="17">
      <c r="A6" s="13" t="s">
        <v>18</v>
      </c>
      <c r="B6" s="175"/>
      <c r="C6" s="176"/>
      <c r="D6" s="177"/>
      <c r="E6" s="13" t="s">
        <v>11</v>
      </c>
      <c r="F6" s="14"/>
      <c r="J6" s="23" t="s">
        <v>19</v>
      </c>
      <c r="K6" s="22">
        <f>COUNTIF(J14:J49,"W_A_D")</f>
        <v>0</v>
      </c>
      <c r="L6" s="22"/>
      <c r="N6" s="23" t="s">
        <v>19</v>
      </c>
      <c r="O6" s="22"/>
      <c r="P6" s="22"/>
      <c r="R6" s="23" t="s">
        <v>19</v>
      </c>
      <c r="S6" s="22"/>
      <c r="T6" s="22"/>
    </row>
    <row r="7" spans="1:21" ht="17">
      <c r="A7" s="13" t="s">
        <v>20</v>
      </c>
      <c r="B7" s="175"/>
      <c r="C7" s="176"/>
      <c r="D7" s="177"/>
      <c r="E7" s="13" t="s">
        <v>11</v>
      </c>
      <c r="F7" s="14"/>
      <c r="K7" s="22"/>
      <c r="L7" s="22"/>
      <c r="O7" s="22"/>
      <c r="P7" s="22"/>
      <c r="S7" s="22"/>
      <c r="T7" s="22"/>
    </row>
    <row r="8" spans="1:21" ht="17">
      <c r="A8" s="13"/>
      <c r="B8" s="175"/>
      <c r="C8" s="176"/>
      <c r="D8" s="177"/>
      <c r="E8" s="13" t="s">
        <v>11</v>
      </c>
      <c r="F8" s="14"/>
      <c r="K8" s="22"/>
      <c r="L8" s="22"/>
      <c r="O8" s="22"/>
      <c r="P8" s="22"/>
      <c r="S8" s="22"/>
      <c r="T8" s="22"/>
    </row>
    <row r="9" spans="1:21" ht="17">
      <c r="A9" s="15" t="s">
        <v>21</v>
      </c>
      <c r="B9" s="172"/>
      <c r="C9" s="173"/>
      <c r="D9" s="174"/>
      <c r="E9" s="16"/>
      <c r="F9" s="16"/>
    </row>
    <row r="10" spans="1:21" ht="17">
      <c r="A10" s="15" t="s">
        <v>22</v>
      </c>
      <c r="B10" s="172"/>
      <c r="C10" s="173"/>
      <c r="D10" s="174"/>
      <c r="E10" s="16"/>
      <c r="F10" s="16"/>
    </row>
    <row r="11" spans="1:21" ht="17">
      <c r="A11" s="15" t="s">
        <v>23</v>
      </c>
      <c r="B11" s="172"/>
      <c r="C11" s="173"/>
      <c r="D11" s="174"/>
      <c r="E11" s="16"/>
      <c r="F11" s="16"/>
    </row>
    <row r="12" spans="1:21">
      <c r="A12" s="17"/>
      <c r="B12" s="5"/>
      <c r="C12" s="5"/>
      <c r="D12" s="5"/>
      <c r="H12" s="4"/>
      <c r="I12" s="4"/>
    </row>
    <row r="13" spans="1:21" s="1" customFormat="1" ht="32.25" customHeight="1">
      <c r="A13" s="18" t="s">
        <v>24</v>
      </c>
      <c r="B13" s="18" t="s">
        <v>25</v>
      </c>
      <c r="C13" s="18" t="s">
        <v>26</v>
      </c>
      <c r="D13" s="18" t="s">
        <v>27</v>
      </c>
      <c r="E13" s="18" t="s">
        <v>28</v>
      </c>
      <c r="F13" s="18" t="s">
        <v>29</v>
      </c>
      <c r="G13" s="18" t="s">
        <v>30</v>
      </c>
      <c r="H13" s="18" t="s">
        <v>31</v>
      </c>
      <c r="I13" s="24" t="s">
        <v>32</v>
      </c>
      <c r="J13" s="18" t="s">
        <v>33</v>
      </c>
      <c r="K13" s="25" t="s">
        <v>34</v>
      </c>
      <c r="L13" s="18" t="s">
        <v>35</v>
      </c>
      <c r="M13" s="18" t="s">
        <v>36</v>
      </c>
      <c r="N13" s="18" t="s">
        <v>37</v>
      </c>
      <c r="O13" s="25" t="s">
        <v>38</v>
      </c>
      <c r="P13" s="18" t="s">
        <v>39</v>
      </c>
      <c r="Q13" s="18" t="s">
        <v>40</v>
      </c>
      <c r="R13" s="18" t="s">
        <v>41</v>
      </c>
      <c r="S13" s="25" t="s">
        <v>42</v>
      </c>
      <c r="T13" s="18" t="s">
        <v>43</v>
      </c>
      <c r="U13" s="18" t="s">
        <v>44</v>
      </c>
    </row>
    <row r="14" spans="1:21" s="2" customFormat="1" ht="281.25" customHeight="1">
      <c r="A14" s="58" t="s">
        <v>0</v>
      </c>
      <c r="B14" s="58" t="s">
        <v>45</v>
      </c>
      <c r="C14" s="54"/>
      <c r="D14" s="54"/>
      <c r="E14" s="58" t="s">
        <v>51</v>
      </c>
      <c r="F14" s="58"/>
      <c r="G14" s="58" t="s">
        <v>46</v>
      </c>
      <c r="H14" s="58" t="s">
        <v>47</v>
      </c>
      <c r="I14" s="155"/>
      <c r="J14" s="64"/>
      <c r="K14" s="54"/>
      <c r="L14" s="54"/>
      <c r="M14" s="146"/>
      <c r="N14" s="157"/>
      <c r="O14" s="20"/>
      <c r="P14" s="20"/>
      <c r="Q14" s="156"/>
      <c r="R14" s="26"/>
    </row>
    <row r="15" spans="1:21" s="2" customFormat="1" ht="265.5" customHeight="1">
      <c r="A15" s="41" t="s">
        <v>0</v>
      </c>
      <c r="B15" s="41" t="s">
        <v>49</v>
      </c>
      <c r="C15" s="46"/>
      <c r="D15" s="46"/>
      <c r="E15" s="41" t="s">
        <v>52</v>
      </c>
      <c r="F15" s="41"/>
      <c r="G15" s="41" t="s">
        <v>53</v>
      </c>
      <c r="H15" s="41" t="s">
        <v>54</v>
      </c>
      <c r="I15" s="39"/>
      <c r="J15" s="42"/>
      <c r="K15" s="39"/>
      <c r="L15" s="39"/>
      <c r="M15" s="63"/>
      <c r="N15" s="43"/>
      <c r="O15" s="39"/>
      <c r="P15" s="39"/>
      <c r="Q15" s="44"/>
      <c r="R15" s="45"/>
      <c r="S15" s="44"/>
      <c r="T15" s="44"/>
      <c r="U15" s="44"/>
    </row>
    <row r="17" spans="10:21">
      <c r="J17" s="3"/>
      <c r="M17" s="3"/>
      <c r="N17" s="3"/>
      <c r="Q17" s="3"/>
      <c r="R17" s="3"/>
      <c r="U17" s="3"/>
    </row>
    <row r="18" spans="10:21">
      <c r="J18" s="3"/>
      <c r="M18" s="3"/>
      <c r="N18" s="3"/>
      <c r="Q18" s="3"/>
      <c r="R18" s="3"/>
      <c r="U18" s="3"/>
    </row>
  </sheetData>
  <mergeCells count="13">
    <mergeCell ref="B4:D4"/>
    <mergeCell ref="J1:K1"/>
    <mergeCell ref="N1:O1"/>
    <mergeCell ref="R1:S1"/>
    <mergeCell ref="B2:D2"/>
    <mergeCell ref="B3:D3"/>
    <mergeCell ref="B11:D11"/>
    <mergeCell ref="B5:D5"/>
    <mergeCell ref="B6:D6"/>
    <mergeCell ref="B7:D7"/>
    <mergeCell ref="B8:D8"/>
    <mergeCell ref="B9:D9"/>
    <mergeCell ref="B10:D10"/>
  </mergeCells>
  <phoneticPr fontId="40" type="noConversion"/>
  <conditionalFormatting sqref="I14:I15">
    <cfRule type="containsText" dxfId="104" priority="1" operator="containsText" text="4 - Low">
      <formula>NOT(ISERROR(SEARCH("4 - Low",I14)))</formula>
    </cfRule>
    <cfRule type="containsText" dxfId="103" priority="2" operator="containsText" text="3 - Minor">
      <formula>NOT(ISERROR(SEARCH("3 - Minor",I14)))</formula>
    </cfRule>
    <cfRule type="containsText" dxfId="102" priority="3" operator="containsText" text="2 - Major">
      <formula>NOT(ISERROR(SEARCH("2 - Major",I14)))</formula>
    </cfRule>
    <cfRule type="containsText" dxfId="101" priority="4" operator="containsText" text="1 - Critical">
      <formula>NOT(ISERROR(SEARCH("1 - Critical",I14)))</formula>
    </cfRule>
  </conditionalFormatting>
  <conditionalFormatting sqref="J14:J15 N14:N15 R14:R15">
    <cfRule type="cellIs" dxfId="100" priority="5" operator="equal">
      <formula>"W_A_D"</formula>
    </cfRule>
    <cfRule type="cellIs" dxfId="99" priority="6" operator="equal">
      <formula>"NOT TESTED"</formula>
    </cfRule>
    <cfRule type="cellIs" dxfId="98" priority="7" operator="equal">
      <formula>"PARTIAL PASSED"</formula>
    </cfRule>
    <cfRule type="cellIs" dxfId="97" priority="8" operator="equal">
      <formula>"FAILED"</formula>
    </cfRule>
    <cfRule type="cellIs" dxfId="96" priority="9" operator="equal">
      <formula>"PASSED"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1:U17"/>
  <sheetViews>
    <sheetView zoomScale="70" zoomScaleNormal="70" workbookViewId="0">
      <pane xSplit="8" ySplit="13" topLeftCell="I14" activePane="bottomRight" state="frozen"/>
      <selection pane="topRight" activeCell="I1" sqref="I1"/>
      <selection pane="bottomLeft" activeCell="A14" sqref="A14"/>
      <selection pane="bottomRight" activeCell="F14" sqref="F14"/>
    </sheetView>
  </sheetViews>
  <sheetFormatPr baseColWidth="10" defaultColWidth="9" defaultRowHeight="15"/>
  <cols>
    <col min="1" max="1" width="19.6640625" style="3" bestFit="1" customWidth="1"/>
    <col min="2" max="2" width="11.6640625" style="3" bestFit="1" customWidth="1"/>
    <col min="3" max="3" width="15.5" style="3" bestFit="1" customWidth="1"/>
    <col min="4" max="4" width="17.6640625" style="3" bestFit="1" customWidth="1"/>
    <col min="5" max="5" width="38.6640625" style="3" bestFit="1" customWidth="1"/>
    <col min="6" max="6" width="19.1640625" style="3" bestFit="1" customWidth="1"/>
    <col min="7" max="7" width="28.1640625" style="3" customWidth="1"/>
    <col min="8" max="8" width="37.1640625" style="3" customWidth="1"/>
    <col min="9" max="9" width="15.6640625" style="3" bestFit="1" customWidth="1"/>
    <col min="10" max="10" width="14.6640625" style="4" customWidth="1"/>
    <col min="11" max="11" width="168" style="3" customWidth="1"/>
    <col min="12" max="12" width="27.6640625" style="3" bestFit="1" customWidth="1"/>
    <col min="13" max="13" width="19.1640625" style="143" bestFit="1" customWidth="1"/>
    <col min="14" max="14" width="14.6640625" style="4" customWidth="1"/>
    <col min="15" max="15" width="198.5" style="3" customWidth="1"/>
    <col min="16" max="16" width="27.33203125" style="3" bestFit="1" customWidth="1"/>
    <col min="17" max="17" width="18.6640625" style="5" bestFit="1" customWidth="1"/>
    <col min="18" max="18" width="14.6640625" style="4" customWidth="1"/>
    <col min="19" max="19" width="18.6640625" style="3" bestFit="1" customWidth="1"/>
    <col min="20" max="20" width="27.33203125" style="3" bestFit="1" customWidth="1"/>
    <col min="21" max="21" width="18.6640625" style="5" bestFit="1" customWidth="1"/>
    <col min="22" max="16384" width="9" style="3"/>
  </cols>
  <sheetData>
    <row r="1" spans="1:21" ht="21.75" customHeight="1">
      <c r="A1" s="6" t="s">
        <v>1</v>
      </c>
      <c r="B1" s="7"/>
      <c r="C1" s="8"/>
      <c r="D1" s="8"/>
      <c r="E1" s="9" t="s">
        <v>2</v>
      </c>
      <c r="F1" s="6"/>
      <c r="G1" s="10"/>
      <c r="H1" s="6"/>
      <c r="J1" s="181" t="s">
        <v>3</v>
      </c>
      <c r="K1" s="181"/>
      <c r="L1" s="59"/>
      <c r="M1" s="158"/>
      <c r="N1" s="181" t="s">
        <v>4</v>
      </c>
      <c r="O1" s="181"/>
      <c r="P1" s="59"/>
      <c r="R1" s="181" t="s">
        <v>5</v>
      </c>
      <c r="S1" s="181"/>
      <c r="T1" s="27"/>
    </row>
    <row r="2" spans="1:21" ht="75" customHeight="1">
      <c r="A2" s="11" t="s">
        <v>6</v>
      </c>
      <c r="B2" s="182" t="s">
        <v>7</v>
      </c>
      <c r="C2" s="183"/>
      <c r="D2" s="184"/>
      <c r="E2" s="11" t="s">
        <v>8</v>
      </c>
      <c r="F2" s="12"/>
      <c r="J2" s="21" t="s">
        <v>9</v>
      </c>
      <c r="K2" s="22">
        <f>COUNTIF(J14:J46,"PASSED")</f>
        <v>0</v>
      </c>
      <c r="L2" s="22"/>
      <c r="M2" s="158"/>
      <c r="N2" s="21" t="s">
        <v>9</v>
      </c>
      <c r="O2" s="22">
        <f>COUNTIF(N14:N46,"PASSED")</f>
        <v>0</v>
      </c>
      <c r="P2" s="22"/>
      <c r="R2" s="21" t="s">
        <v>9</v>
      </c>
      <c r="S2" s="22">
        <f>COUNTIF(R14:R46,"PASSED")</f>
        <v>0</v>
      </c>
      <c r="T2" s="22"/>
    </row>
    <row r="3" spans="1:21" ht="17">
      <c r="A3" s="13" t="s">
        <v>10</v>
      </c>
      <c r="B3" s="178"/>
      <c r="C3" s="179"/>
      <c r="D3" s="180"/>
      <c r="E3" s="13" t="s">
        <v>11</v>
      </c>
      <c r="F3" s="14"/>
      <c r="J3" s="21" t="s">
        <v>12</v>
      </c>
      <c r="K3" s="22">
        <f>COUNTIF(J14:J47,"FAILED")</f>
        <v>0</v>
      </c>
      <c r="L3" s="22"/>
      <c r="M3" s="158"/>
      <c r="N3" s="21" t="s">
        <v>12</v>
      </c>
      <c r="O3" s="22">
        <f>COUNTIF(N14:N47,"FAILED")</f>
        <v>0</v>
      </c>
      <c r="P3" s="22"/>
      <c r="R3" s="21" t="s">
        <v>12</v>
      </c>
      <c r="S3" s="22">
        <f>COUNTIF(R14:R47,"FAILED")</f>
        <v>0</v>
      </c>
      <c r="T3" s="22"/>
    </row>
    <row r="4" spans="1:21" ht="17">
      <c r="A4" s="13" t="s">
        <v>13</v>
      </c>
      <c r="B4" s="178" t="s">
        <v>14</v>
      </c>
      <c r="C4" s="179"/>
      <c r="D4" s="180"/>
      <c r="E4" s="13" t="s">
        <v>11</v>
      </c>
      <c r="F4" s="14"/>
      <c r="J4" s="21" t="s">
        <v>15</v>
      </c>
      <c r="K4" s="22">
        <f>COUNTIF(J14:J48,"BLOCKED")</f>
        <v>0</v>
      </c>
      <c r="L4" s="22"/>
      <c r="M4" s="158"/>
      <c r="N4" s="21" t="s">
        <v>15</v>
      </c>
      <c r="O4" s="22">
        <f>COUNTIF(N14:N48,"BLOCKED")</f>
        <v>0</v>
      </c>
      <c r="P4" s="22"/>
      <c r="R4" s="21" t="s">
        <v>15</v>
      </c>
      <c r="S4" s="22">
        <f>COUNTIF(R14:R48,"BLOCKED")</f>
        <v>0</v>
      </c>
      <c r="T4" s="22"/>
    </row>
    <row r="5" spans="1:21" ht="17">
      <c r="A5" s="13" t="s">
        <v>16</v>
      </c>
      <c r="B5" s="175"/>
      <c r="C5" s="176"/>
      <c r="D5" s="177"/>
      <c r="E5" s="13" t="s">
        <v>11</v>
      </c>
      <c r="F5" s="14"/>
      <c r="J5" s="21" t="s">
        <v>17</v>
      </c>
      <c r="K5" s="22">
        <f>COUNTIF(J14:J49,"PARTIAL PASSED")</f>
        <v>0</v>
      </c>
      <c r="L5" s="22"/>
      <c r="M5" s="158"/>
      <c r="N5" s="21" t="s">
        <v>17</v>
      </c>
      <c r="O5" s="22">
        <f>COUNTIF(N14:N49,"PARTIAL PASSED")</f>
        <v>0</v>
      </c>
      <c r="P5" s="22"/>
      <c r="R5" s="21" t="s">
        <v>17</v>
      </c>
      <c r="S5" s="22">
        <f>COUNTIF(R14:R49,"PARTIAL PASSED")</f>
        <v>0</v>
      </c>
      <c r="T5" s="22"/>
    </row>
    <row r="6" spans="1:21" ht="17">
      <c r="A6" s="13" t="s">
        <v>18</v>
      </c>
      <c r="B6" s="175"/>
      <c r="C6" s="176"/>
      <c r="D6" s="177"/>
      <c r="E6" s="13" t="s">
        <v>11</v>
      </c>
      <c r="F6" s="14"/>
      <c r="J6" s="23" t="s">
        <v>19</v>
      </c>
      <c r="K6" s="22">
        <f>COUNTIF(J14:J49,"W_A_D")</f>
        <v>0</v>
      </c>
      <c r="L6" s="22"/>
      <c r="M6" s="158"/>
      <c r="N6" s="23" t="s">
        <v>19</v>
      </c>
      <c r="O6" s="22"/>
      <c r="P6" s="22"/>
      <c r="R6" s="23" t="s">
        <v>19</v>
      </c>
      <c r="S6" s="22"/>
      <c r="T6" s="22"/>
    </row>
    <row r="7" spans="1:21" ht="17">
      <c r="A7" s="13" t="s">
        <v>20</v>
      </c>
      <c r="B7" s="175"/>
      <c r="C7" s="176"/>
      <c r="D7" s="177"/>
      <c r="E7" s="13" t="s">
        <v>11</v>
      </c>
      <c r="F7" s="14"/>
      <c r="K7" s="22"/>
      <c r="L7" s="22"/>
      <c r="M7" s="158"/>
      <c r="O7" s="22"/>
      <c r="P7" s="22"/>
      <c r="S7" s="22"/>
      <c r="T7" s="22"/>
    </row>
    <row r="8" spans="1:21" ht="17">
      <c r="A8" s="13"/>
      <c r="B8" s="175"/>
      <c r="C8" s="176"/>
      <c r="D8" s="177"/>
      <c r="E8" s="13" t="s">
        <v>11</v>
      </c>
      <c r="F8" s="14"/>
      <c r="K8" s="22"/>
      <c r="L8" s="22"/>
      <c r="M8" s="158"/>
      <c r="O8" s="22"/>
      <c r="P8" s="22"/>
      <c r="S8" s="22"/>
      <c r="T8" s="22"/>
    </row>
    <row r="9" spans="1:21" ht="17">
      <c r="A9" s="15" t="s">
        <v>21</v>
      </c>
      <c r="B9" s="172"/>
      <c r="C9" s="173"/>
      <c r="D9" s="174"/>
      <c r="E9" s="16"/>
      <c r="F9" s="16"/>
      <c r="M9" s="158"/>
    </row>
    <row r="10" spans="1:21" ht="17">
      <c r="A10" s="15" t="s">
        <v>22</v>
      </c>
      <c r="B10" s="172"/>
      <c r="C10" s="173"/>
      <c r="D10" s="174"/>
      <c r="E10" s="16"/>
      <c r="F10" s="16"/>
      <c r="M10" s="158"/>
    </row>
    <row r="11" spans="1:21" ht="17">
      <c r="A11" s="15" t="s">
        <v>23</v>
      </c>
      <c r="B11" s="172"/>
      <c r="C11" s="173"/>
      <c r="D11" s="174"/>
      <c r="E11" s="16"/>
      <c r="F11" s="16"/>
      <c r="M11" s="158"/>
    </row>
    <row r="12" spans="1:21">
      <c r="A12" s="17"/>
      <c r="B12" s="5"/>
      <c r="C12" s="5"/>
      <c r="D12" s="5"/>
      <c r="H12" s="4"/>
      <c r="I12" s="4"/>
      <c r="M12" s="158"/>
    </row>
    <row r="13" spans="1:21" s="1" customFormat="1" ht="32.25" customHeight="1">
      <c r="A13" s="18" t="s">
        <v>24</v>
      </c>
      <c r="B13" s="18" t="s">
        <v>25</v>
      </c>
      <c r="C13" s="18" t="s">
        <v>26</v>
      </c>
      <c r="D13" s="18" t="s">
        <v>27</v>
      </c>
      <c r="E13" s="18" t="s">
        <v>28</v>
      </c>
      <c r="F13" s="18" t="s">
        <v>29</v>
      </c>
      <c r="G13" s="18" t="s">
        <v>30</v>
      </c>
      <c r="H13" s="18" t="s">
        <v>31</v>
      </c>
      <c r="I13" s="24" t="s">
        <v>32</v>
      </c>
      <c r="J13" s="18" t="s">
        <v>33</v>
      </c>
      <c r="K13" s="25" t="s">
        <v>34</v>
      </c>
      <c r="L13" s="18" t="s">
        <v>35</v>
      </c>
      <c r="M13" s="144" t="s">
        <v>36</v>
      </c>
      <c r="N13" s="18" t="s">
        <v>37</v>
      </c>
      <c r="O13" s="25" t="s">
        <v>38</v>
      </c>
      <c r="P13" s="18" t="s">
        <v>39</v>
      </c>
      <c r="Q13" s="18" t="s">
        <v>40</v>
      </c>
      <c r="R13" s="18" t="s">
        <v>41</v>
      </c>
      <c r="S13" s="25" t="s">
        <v>42</v>
      </c>
      <c r="T13" s="18" t="s">
        <v>43</v>
      </c>
      <c r="U13" s="18" t="s">
        <v>44</v>
      </c>
    </row>
    <row r="14" spans="1:21" s="2" customFormat="1" ht="281.25" customHeight="1">
      <c r="A14" s="58" t="s">
        <v>0</v>
      </c>
      <c r="B14" s="58" t="s">
        <v>45</v>
      </c>
      <c r="C14" s="54"/>
      <c r="D14" s="54"/>
      <c r="E14" s="58" t="s">
        <v>51</v>
      </c>
      <c r="F14" s="58"/>
      <c r="G14" s="58" t="s">
        <v>46</v>
      </c>
      <c r="H14" s="58" t="s">
        <v>47</v>
      </c>
      <c r="I14" s="155" t="s">
        <v>48</v>
      </c>
      <c r="J14" s="64"/>
      <c r="K14" s="54"/>
      <c r="L14" s="54"/>
      <c r="M14" s="146"/>
      <c r="N14" s="157"/>
      <c r="O14" s="20"/>
      <c r="P14" s="20"/>
      <c r="Q14" s="156"/>
      <c r="R14" s="26"/>
    </row>
    <row r="15" spans="1:21" s="2" customFormat="1" ht="265.5" customHeight="1">
      <c r="A15" s="41" t="s">
        <v>0</v>
      </c>
      <c r="B15" s="41" t="s">
        <v>49</v>
      </c>
      <c r="C15" s="46"/>
      <c r="D15" s="46"/>
      <c r="E15" s="41" t="s">
        <v>52</v>
      </c>
      <c r="F15" s="41"/>
      <c r="G15" s="41" t="s">
        <v>53</v>
      </c>
      <c r="H15" s="41" t="s">
        <v>54</v>
      </c>
      <c r="I15" s="39"/>
      <c r="J15" s="42"/>
      <c r="K15" s="39"/>
      <c r="L15" s="39"/>
      <c r="M15" s="63"/>
      <c r="N15" s="43"/>
      <c r="O15" s="39"/>
      <c r="P15" s="39"/>
      <c r="Q15" s="44"/>
      <c r="R15" s="45"/>
      <c r="S15" s="44"/>
      <c r="T15" s="44"/>
      <c r="U15" s="44"/>
    </row>
    <row r="16" spans="1:21">
      <c r="J16" s="3"/>
      <c r="M16" s="158"/>
      <c r="N16" s="3"/>
      <c r="Q16" s="3"/>
      <c r="R16" s="3"/>
      <c r="U16" s="3"/>
    </row>
    <row r="17" spans="10:21">
      <c r="J17" s="3"/>
      <c r="M17" s="158"/>
      <c r="N17" s="3"/>
      <c r="Q17" s="3"/>
      <c r="R17" s="3"/>
      <c r="U17" s="3"/>
    </row>
  </sheetData>
  <mergeCells count="13">
    <mergeCell ref="B4:D4"/>
    <mergeCell ref="J1:K1"/>
    <mergeCell ref="N1:O1"/>
    <mergeCell ref="R1:S1"/>
    <mergeCell ref="B2:D2"/>
    <mergeCell ref="B3:D3"/>
    <mergeCell ref="B11:D11"/>
    <mergeCell ref="B5:D5"/>
    <mergeCell ref="B6:D6"/>
    <mergeCell ref="B7:D7"/>
    <mergeCell ref="B8:D8"/>
    <mergeCell ref="B9:D9"/>
    <mergeCell ref="B10:D10"/>
  </mergeCells>
  <phoneticPr fontId="40" type="noConversion"/>
  <conditionalFormatting sqref="I14:I15">
    <cfRule type="containsText" dxfId="95" priority="1" operator="containsText" text="4 - Low">
      <formula>NOT(ISERROR(SEARCH("4 - Low",I14)))</formula>
    </cfRule>
    <cfRule type="containsText" dxfId="94" priority="2" operator="containsText" text="3 - Minor">
      <formula>NOT(ISERROR(SEARCH("3 - Minor",I14)))</formula>
    </cfRule>
    <cfRule type="containsText" dxfId="93" priority="3" operator="containsText" text="2 - Major">
      <formula>NOT(ISERROR(SEARCH("2 - Major",I14)))</formula>
    </cfRule>
    <cfRule type="containsText" dxfId="92" priority="4" operator="containsText" text="1 - Critical">
      <formula>NOT(ISERROR(SEARCH("1 - Critical",I14)))</formula>
    </cfRule>
  </conditionalFormatting>
  <conditionalFormatting sqref="J14:J15 N14:N15 R14:R15">
    <cfRule type="cellIs" dxfId="91" priority="5" operator="equal">
      <formula>"W_A_D"</formula>
    </cfRule>
    <cfRule type="cellIs" dxfId="90" priority="6" operator="equal">
      <formula>"NOT TESTED"</formula>
    </cfRule>
    <cfRule type="cellIs" dxfId="89" priority="7" operator="equal">
      <formula>"PARTIAL PASSED"</formula>
    </cfRule>
    <cfRule type="cellIs" dxfId="88" priority="8" operator="equal">
      <formula>"FAILED"</formula>
    </cfRule>
    <cfRule type="cellIs" dxfId="87" priority="9" operator="equal">
      <formula>"PASSED"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U37"/>
  <sheetViews>
    <sheetView zoomScale="70" zoomScaleNormal="70" workbookViewId="0">
      <selection activeCell="B6" sqref="B6:D6"/>
    </sheetView>
  </sheetViews>
  <sheetFormatPr baseColWidth="10" defaultColWidth="9" defaultRowHeight="15"/>
  <cols>
    <col min="1" max="1" width="19.6640625" style="3" bestFit="1" customWidth="1"/>
    <col min="2" max="2" width="11.6640625" style="3" bestFit="1" customWidth="1"/>
    <col min="3" max="3" width="15.5" style="3" bestFit="1" customWidth="1"/>
    <col min="4" max="4" width="17.6640625" style="3" bestFit="1" customWidth="1"/>
    <col min="5" max="5" width="38.6640625" style="3" bestFit="1" customWidth="1"/>
    <col min="6" max="6" width="19.1640625" style="3" bestFit="1" customWidth="1"/>
    <col min="7" max="7" width="51.5" style="3" bestFit="1" customWidth="1"/>
    <col min="8" max="8" width="58.1640625" style="3" bestFit="1" customWidth="1"/>
    <col min="9" max="9" width="15.6640625" style="3" bestFit="1" customWidth="1"/>
    <col min="10" max="10" width="14.6640625" style="4" customWidth="1"/>
    <col min="11" max="11" width="92.83203125" style="3" customWidth="1"/>
    <col min="12" max="12" width="27.6640625" style="3" bestFit="1" customWidth="1"/>
    <col min="13" max="13" width="19.1640625" style="5" bestFit="1" customWidth="1"/>
    <col min="14" max="14" width="14.6640625" style="4" customWidth="1"/>
    <col min="15" max="15" width="213.83203125" style="3" customWidth="1"/>
    <col min="16" max="16" width="27.33203125" style="3" bestFit="1" customWidth="1"/>
    <col min="17" max="17" width="18.6640625" style="5" bestFit="1" customWidth="1"/>
    <col min="18" max="18" width="14.6640625" style="4" customWidth="1"/>
    <col min="19" max="19" width="18.6640625" style="3" bestFit="1" customWidth="1"/>
    <col min="20" max="20" width="27.33203125" style="3" bestFit="1" customWidth="1"/>
    <col min="21" max="21" width="18.6640625" style="5" bestFit="1" customWidth="1"/>
    <col min="22" max="16384" width="9" style="3"/>
  </cols>
  <sheetData>
    <row r="1" spans="1:21" ht="21.75" customHeight="1">
      <c r="A1" s="6" t="s">
        <v>1</v>
      </c>
      <c r="B1" s="7"/>
      <c r="C1" s="8"/>
      <c r="D1" s="8"/>
      <c r="E1" s="9" t="s">
        <v>2</v>
      </c>
      <c r="F1" s="6"/>
      <c r="G1" s="10"/>
      <c r="H1" s="6"/>
      <c r="J1" s="181" t="s">
        <v>3</v>
      </c>
      <c r="K1" s="181"/>
      <c r="L1" s="59"/>
      <c r="N1" s="181" t="s">
        <v>4</v>
      </c>
      <c r="O1" s="181"/>
      <c r="P1" s="59"/>
      <c r="R1" s="181" t="s">
        <v>5</v>
      </c>
      <c r="S1" s="181"/>
      <c r="T1" s="27"/>
    </row>
    <row r="2" spans="1:21" ht="75" customHeight="1">
      <c r="A2" s="11" t="s">
        <v>6</v>
      </c>
      <c r="B2" s="182" t="s">
        <v>55</v>
      </c>
      <c r="C2" s="183"/>
      <c r="D2" s="184"/>
      <c r="E2" s="11" t="s">
        <v>8</v>
      </c>
      <c r="F2" s="12"/>
      <c r="J2" s="21" t="s">
        <v>9</v>
      </c>
      <c r="K2" s="22">
        <f>COUNTIF(J14:J66,"PASSED")</f>
        <v>0</v>
      </c>
      <c r="L2" s="22"/>
      <c r="N2" s="21" t="s">
        <v>9</v>
      </c>
      <c r="O2" s="22">
        <f>COUNTIF(N14:N66,"PASSED")</f>
        <v>0</v>
      </c>
      <c r="P2" s="22"/>
      <c r="R2" s="21" t="s">
        <v>9</v>
      </c>
      <c r="S2" s="22">
        <f>COUNTIF(R14:R66,"PASSED")</f>
        <v>0</v>
      </c>
      <c r="T2" s="22"/>
    </row>
    <row r="3" spans="1:21" ht="17">
      <c r="A3" s="13" t="s">
        <v>10</v>
      </c>
      <c r="B3" s="178"/>
      <c r="C3" s="179"/>
      <c r="D3" s="180"/>
      <c r="E3" s="13" t="s">
        <v>11</v>
      </c>
      <c r="F3" s="14"/>
      <c r="J3" s="21" t="s">
        <v>12</v>
      </c>
      <c r="K3" s="22">
        <f>COUNTIF(J14:J67,"FAILED")</f>
        <v>0</v>
      </c>
      <c r="L3" s="22"/>
      <c r="N3" s="21" t="s">
        <v>12</v>
      </c>
      <c r="O3" s="22">
        <f>COUNTIF(N14:N67,"FAILED")</f>
        <v>0</v>
      </c>
      <c r="P3" s="22"/>
      <c r="R3" s="21" t="s">
        <v>12</v>
      </c>
      <c r="S3" s="22">
        <f>COUNTIF(R14:R67,"FAILED")</f>
        <v>0</v>
      </c>
      <c r="T3" s="22"/>
    </row>
    <row r="4" spans="1:21" ht="17">
      <c r="A4" s="13" t="s">
        <v>13</v>
      </c>
      <c r="B4" s="178"/>
      <c r="C4" s="179"/>
      <c r="D4" s="180"/>
      <c r="E4" s="13" t="s">
        <v>11</v>
      </c>
      <c r="F4" s="14"/>
      <c r="J4" s="21" t="s">
        <v>15</v>
      </c>
      <c r="K4" s="22">
        <f>COUNTIF(J14:J68,"BLOCKED")</f>
        <v>0</v>
      </c>
      <c r="L4" s="22"/>
      <c r="N4" s="21" t="s">
        <v>15</v>
      </c>
      <c r="O4" s="22">
        <f>COUNTIF(N14:N68,"BLOCKED")</f>
        <v>0</v>
      </c>
      <c r="P4" s="22"/>
      <c r="R4" s="21" t="s">
        <v>15</v>
      </c>
      <c r="S4" s="22">
        <f>COUNTIF(R14:R68,"BLOCKED")</f>
        <v>0</v>
      </c>
      <c r="T4" s="22"/>
    </row>
    <row r="5" spans="1:21" ht="17">
      <c r="A5" s="13" t="s">
        <v>16</v>
      </c>
      <c r="B5" s="175"/>
      <c r="C5" s="176"/>
      <c r="D5" s="177"/>
      <c r="E5" s="13" t="s">
        <v>11</v>
      </c>
      <c r="F5" s="14"/>
      <c r="J5" s="21" t="s">
        <v>17</v>
      </c>
      <c r="K5" s="22">
        <f>COUNTIF(J14:J69,"PARTIAL PASSED")</f>
        <v>0</v>
      </c>
      <c r="L5" s="22"/>
      <c r="N5" s="21" t="s">
        <v>17</v>
      </c>
      <c r="O5" s="22">
        <f>COUNTIF(N14:N69,"PARTIAL PASSED")</f>
        <v>0</v>
      </c>
      <c r="P5" s="22"/>
      <c r="R5" s="21" t="s">
        <v>17</v>
      </c>
      <c r="S5" s="22">
        <f>COUNTIF(R14:R69,"PARTIAL PASSED")</f>
        <v>0</v>
      </c>
      <c r="T5" s="22"/>
    </row>
    <row r="6" spans="1:21" ht="17">
      <c r="A6" s="13" t="s">
        <v>18</v>
      </c>
      <c r="B6" s="175"/>
      <c r="C6" s="176"/>
      <c r="D6" s="177"/>
      <c r="E6" s="13" t="s">
        <v>11</v>
      </c>
      <c r="F6" s="14"/>
      <c r="J6" s="23" t="s">
        <v>19</v>
      </c>
      <c r="K6" s="22">
        <f>COUNTIF(J14:J69,"W_A_D")</f>
        <v>0</v>
      </c>
      <c r="L6" s="22"/>
      <c r="N6" s="23" t="s">
        <v>19</v>
      </c>
      <c r="O6" s="22"/>
      <c r="P6" s="22"/>
      <c r="R6" s="23" t="s">
        <v>19</v>
      </c>
      <c r="S6" s="22"/>
      <c r="T6" s="22"/>
    </row>
    <row r="7" spans="1:21" ht="17">
      <c r="A7" s="13" t="s">
        <v>20</v>
      </c>
      <c r="B7" s="175"/>
      <c r="C7" s="176"/>
      <c r="D7" s="177"/>
      <c r="E7" s="13" t="s">
        <v>11</v>
      </c>
      <c r="F7" s="14"/>
      <c r="K7" s="22"/>
      <c r="L7" s="22"/>
      <c r="O7" s="22"/>
      <c r="P7" s="22"/>
      <c r="S7" s="22"/>
      <c r="T7" s="22"/>
    </row>
    <row r="8" spans="1:21" ht="17">
      <c r="A8" s="13"/>
      <c r="B8" s="175"/>
      <c r="C8" s="176"/>
      <c r="D8" s="177"/>
      <c r="E8" s="13" t="s">
        <v>11</v>
      </c>
      <c r="F8" s="14"/>
      <c r="K8" s="22"/>
      <c r="L8" s="22"/>
      <c r="O8" s="22"/>
      <c r="P8" s="22"/>
      <c r="S8" s="22"/>
      <c r="T8" s="22"/>
    </row>
    <row r="9" spans="1:21" ht="17">
      <c r="A9" s="15" t="s">
        <v>21</v>
      </c>
      <c r="B9" s="172"/>
      <c r="C9" s="173"/>
      <c r="D9" s="174"/>
      <c r="E9" s="16"/>
      <c r="F9" s="16"/>
    </row>
    <row r="10" spans="1:21" ht="17">
      <c r="A10" s="15" t="s">
        <v>22</v>
      </c>
      <c r="B10" s="172"/>
      <c r="C10" s="173"/>
      <c r="D10" s="174"/>
      <c r="E10" s="16"/>
      <c r="F10" s="16"/>
    </row>
    <row r="11" spans="1:21" ht="17">
      <c r="A11" s="15" t="s">
        <v>23</v>
      </c>
      <c r="B11" s="172"/>
      <c r="C11" s="173"/>
      <c r="D11" s="174"/>
      <c r="E11" s="16"/>
      <c r="F11" s="16"/>
    </row>
    <row r="12" spans="1:21">
      <c r="A12" s="17"/>
      <c r="B12" s="5"/>
      <c r="C12" s="5"/>
      <c r="D12" s="5"/>
      <c r="H12" s="4"/>
      <c r="I12" s="4"/>
    </row>
    <row r="13" spans="1:21" s="66" customFormat="1" ht="32.25" customHeight="1">
      <c r="A13" s="18" t="s">
        <v>24</v>
      </c>
      <c r="B13" s="18" t="s">
        <v>25</v>
      </c>
      <c r="C13" s="18" t="s">
        <v>26</v>
      </c>
      <c r="D13" s="18" t="s">
        <v>27</v>
      </c>
      <c r="E13" s="18" t="s">
        <v>28</v>
      </c>
      <c r="F13" s="18" t="s">
        <v>29</v>
      </c>
      <c r="G13" s="18" t="s">
        <v>30</v>
      </c>
      <c r="H13" s="18" t="s">
        <v>31</v>
      </c>
      <c r="I13" s="24" t="s">
        <v>32</v>
      </c>
      <c r="J13" s="18" t="s">
        <v>33</v>
      </c>
      <c r="K13" s="25" t="s">
        <v>34</v>
      </c>
      <c r="L13" s="18" t="s">
        <v>35</v>
      </c>
      <c r="M13" s="18" t="s">
        <v>36</v>
      </c>
      <c r="N13" s="18" t="s">
        <v>37</v>
      </c>
      <c r="O13" s="25" t="s">
        <v>38</v>
      </c>
      <c r="P13" s="18" t="s">
        <v>39</v>
      </c>
      <c r="Q13" s="18" t="s">
        <v>40</v>
      </c>
      <c r="R13" s="18" t="s">
        <v>41</v>
      </c>
      <c r="S13" s="25" t="s">
        <v>42</v>
      </c>
      <c r="T13" s="18" t="s">
        <v>43</v>
      </c>
      <c r="U13" s="18" t="s">
        <v>44</v>
      </c>
    </row>
    <row r="14" spans="1:21" s="53" customFormat="1" ht="102.75" customHeight="1">
      <c r="A14" s="28"/>
      <c r="B14" s="28"/>
      <c r="C14" s="34"/>
      <c r="D14" s="34"/>
      <c r="E14" s="28"/>
      <c r="F14" s="28"/>
      <c r="G14" s="28"/>
      <c r="H14" s="28"/>
      <c r="I14" s="34"/>
      <c r="J14" s="69"/>
      <c r="K14" s="34"/>
      <c r="L14" s="34"/>
      <c r="M14" s="34"/>
      <c r="N14" s="70"/>
      <c r="O14" s="34"/>
      <c r="P14" s="34"/>
      <c r="R14" s="71"/>
    </row>
    <row r="15" spans="1:21" s="67" customFormat="1" ht="100.5" customHeight="1">
      <c r="A15" s="19"/>
      <c r="B15" s="19"/>
      <c r="C15" s="20"/>
      <c r="D15" s="20"/>
      <c r="E15" s="19"/>
      <c r="F15" s="19"/>
      <c r="G15" s="19"/>
      <c r="H15" s="28"/>
      <c r="I15" s="20"/>
      <c r="J15" s="32"/>
      <c r="K15" s="34"/>
      <c r="L15" s="34"/>
      <c r="M15" s="20"/>
      <c r="N15" s="33"/>
      <c r="O15" s="20"/>
      <c r="P15" s="20"/>
      <c r="Q15" s="2"/>
      <c r="R15" s="26"/>
      <c r="S15" s="2"/>
      <c r="T15" s="2"/>
      <c r="U15" s="2"/>
    </row>
    <row r="16" spans="1:21" s="67" customFormat="1" ht="16">
      <c r="A16" s="19"/>
      <c r="B16" s="19"/>
      <c r="C16" s="20"/>
      <c r="D16" s="20"/>
      <c r="E16" s="19"/>
      <c r="F16" s="19"/>
      <c r="G16" s="19"/>
      <c r="H16" s="28"/>
      <c r="I16" s="48"/>
      <c r="J16" s="32"/>
      <c r="K16" s="48"/>
      <c r="L16" s="48"/>
      <c r="M16" s="20"/>
      <c r="N16" s="49"/>
      <c r="O16" s="48"/>
      <c r="P16" s="48"/>
      <c r="Q16" s="50"/>
      <c r="R16" s="51"/>
      <c r="S16" s="50"/>
      <c r="T16" s="50"/>
      <c r="U16" s="50"/>
    </row>
    <row r="17" spans="1:21" s="67" customFormat="1" ht="16">
      <c r="A17" s="19"/>
      <c r="B17" s="19"/>
      <c r="C17" s="20"/>
      <c r="D17" s="20"/>
      <c r="E17" s="19"/>
      <c r="F17" s="19"/>
      <c r="G17" s="19"/>
      <c r="H17" s="28"/>
      <c r="I17" s="48"/>
      <c r="J17" s="32"/>
      <c r="K17" s="48"/>
      <c r="L17" s="48"/>
      <c r="M17" s="20"/>
      <c r="N17" s="49"/>
      <c r="O17" s="48"/>
      <c r="P17" s="48"/>
      <c r="Q17" s="50"/>
      <c r="R17" s="51"/>
      <c r="S17" s="50"/>
      <c r="T17" s="50"/>
      <c r="U17" s="50"/>
    </row>
    <row r="18" spans="1:21" s="67" customFormat="1" ht="138.75" customHeight="1">
      <c r="A18" s="19"/>
      <c r="B18" s="19"/>
      <c r="C18" s="20"/>
      <c r="D18" s="20"/>
      <c r="E18" s="19"/>
      <c r="F18" s="19"/>
      <c r="G18" s="19"/>
      <c r="H18" s="28"/>
      <c r="I18" s="20"/>
      <c r="J18" s="32"/>
      <c r="K18" s="20"/>
      <c r="L18" s="20"/>
      <c r="M18" s="20"/>
      <c r="N18" s="33"/>
      <c r="O18" s="20"/>
      <c r="P18" s="20"/>
      <c r="Q18" s="2"/>
      <c r="R18" s="26"/>
      <c r="S18" s="2"/>
      <c r="T18" s="2"/>
      <c r="U18" s="2"/>
    </row>
    <row r="19" spans="1:21" s="67" customFormat="1" ht="153.25" customHeight="1">
      <c r="A19" s="19"/>
      <c r="B19" s="19"/>
      <c r="C19" s="20"/>
      <c r="D19" s="20"/>
      <c r="E19" s="19"/>
      <c r="F19" s="19"/>
      <c r="G19" s="19"/>
      <c r="H19" s="28"/>
      <c r="I19" s="20"/>
      <c r="J19" s="32"/>
      <c r="K19" s="20"/>
      <c r="L19" s="20"/>
      <c r="M19" s="20"/>
      <c r="N19" s="33"/>
      <c r="O19" s="20"/>
      <c r="P19" s="20"/>
      <c r="Q19" s="2"/>
      <c r="R19" s="26"/>
      <c r="S19" s="2"/>
      <c r="T19" s="2"/>
      <c r="U19" s="2"/>
    </row>
    <row r="20" spans="1:21" s="67" customFormat="1" ht="136.5" customHeight="1">
      <c r="A20" s="19"/>
      <c r="B20" s="19"/>
      <c r="C20" s="20"/>
      <c r="D20" s="20"/>
      <c r="E20" s="19"/>
      <c r="F20" s="19"/>
      <c r="G20" s="19"/>
      <c r="H20" s="28"/>
      <c r="I20" s="20"/>
      <c r="J20" s="32"/>
      <c r="K20" s="20"/>
      <c r="L20" s="20"/>
      <c r="M20" s="20"/>
      <c r="N20" s="33"/>
      <c r="O20" s="20"/>
      <c r="P20" s="20"/>
      <c r="Q20" s="2"/>
      <c r="R20" s="26"/>
      <c r="S20" s="2"/>
      <c r="T20" s="2"/>
      <c r="U20" s="2"/>
    </row>
    <row r="21" spans="1:21" s="57" customFormat="1" ht="244.5" customHeight="1">
      <c r="A21" s="58"/>
      <c r="B21" s="58"/>
      <c r="C21" s="54"/>
      <c r="D21" s="54"/>
      <c r="E21" s="58"/>
      <c r="F21" s="58"/>
      <c r="G21" s="58"/>
      <c r="H21" s="58"/>
      <c r="I21" s="54"/>
      <c r="J21" s="64"/>
      <c r="K21" s="54"/>
      <c r="L21" s="54"/>
      <c r="M21" s="54"/>
      <c r="N21" s="32"/>
      <c r="O21" s="54"/>
      <c r="P21" s="54"/>
      <c r="Q21" s="53"/>
      <c r="R21" s="65"/>
    </row>
    <row r="22" spans="1:21" s="67" customFormat="1" ht="163.75" customHeight="1">
      <c r="A22" s="36"/>
      <c r="B22" s="36"/>
      <c r="C22" s="35"/>
      <c r="D22" s="35"/>
      <c r="E22" s="36"/>
      <c r="F22" s="36"/>
      <c r="G22" s="36"/>
      <c r="H22" s="30"/>
      <c r="I22" s="35"/>
      <c r="J22" s="145"/>
      <c r="K22" s="35"/>
      <c r="L22" s="35"/>
      <c r="M22" s="35"/>
      <c r="N22" s="38"/>
      <c r="O22" s="35"/>
      <c r="P22" s="35"/>
      <c r="Q22" s="29"/>
      <c r="R22" s="31"/>
      <c r="S22" s="29"/>
      <c r="T22" s="29"/>
      <c r="U22" s="29"/>
    </row>
    <row r="23" spans="1:21" s="57" customFormat="1" ht="247.5" customHeight="1">
      <c r="A23" s="55"/>
      <c r="B23" s="55"/>
      <c r="C23" s="52"/>
      <c r="D23" s="52"/>
      <c r="E23" s="55"/>
      <c r="F23" s="55"/>
      <c r="G23" s="55"/>
      <c r="H23" s="55"/>
      <c r="I23" s="52"/>
      <c r="J23" s="61"/>
      <c r="K23" s="52"/>
      <c r="L23" s="52"/>
      <c r="M23" s="52"/>
      <c r="N23" s="61"/>
      <c r="O23" s="52"/>
      <c r="P23" s="46"/>
      <c r="Q23" s="47"/>
      <c r="R23" s="62"/>
      <c r="S23" s="56"/>
      <c r="T23" s="56"/>
      <c r="U23" s="56"/>
    </row>
    <row r="24" spans="1:21" s="67" customFormat="1" ht="94.5" customHeight="1">
      <c r="A24" s="36"/>
      <c r="B24" s="36"/>
      <c r="C24" s="35"/>
      <c r="D24" s="35"/>
      <c r="E24" s="36"/>
      <c r="F24" s="36"/>
      <c r="G24" s="36"/>
      <c r="H24" s="30"/>
      <c r="I24" s="35"/>
      <c r="J24" s="37"/>
      <c r="K24" s="35"/>
      <c r="L24" s="35"/>
      <c r="M24" s="35"/>
      <c r="N24" s="38"/>
      <c r="O24" s="35"/>
      <c r="P24" s="35"/>
      <c r="Q24" s="29"/>
      <c r="R24" s="31"/>
      <c r="S24" s="29"/>
      <c r="T24" s="29"/>
      <c r="U24" s="29"/>
    </row>
    <row r="25" spans="1:21" s="57" customFormat="1" ht="142.5" customHeight="1">
      <c r="A25" s="55"/>
      <c r="B25" s="55"/>
      <c r="C25" s="52"/>
      <c r="D25" s="52"/>
      <c r="E25" s="55"/>
      <c r="F25" s="55"/>
      <c r="G25" s="55"/>
      <c r="H25" s="55"/>
      <c r="I25" s="52"/>
      <c r="J25" s="60"/>
      <c r="K25" s="52"/>
      <c r="L25" s="52"/>
      <c r="M25" s="52"/>
      <c r="N25" s="72"/>
      <c r="O25" s="52"/>
      <c r="P25" s="52"/>
      <c r="Q25" s="56"/>
      <c r="R25" s="62"/>
      <c r="S25" s="56"/>
      <c r="T25" s="56"/>
      <c r="U25" s="56"/>
    </row>
    <row r="26" spans="1:21" s="68" customFormat="1" ht="94.5" customHeight="1">
      <c r="A26" s="36"/>
      <c r="B26" s="36"/>
      <c r="C26" s="35"/>
      <c r="D26" s="35"/>
      <c r="E26" s="36"/>
      <c r="F26" s="36"/>
      <c r="G26" s="36"/>
      <c r="H26" s="30"/>
      <c r="I26" s="35"/>
      <c r="J26" s="37"/>
      <c r="K26" s="35"/>
      <c r="L26" s="35"/>
      <c r="M26" s="35"/>
      <c r="N26" s="38"/>
      <c r="O26" s="35"/>
      <c r="P26" s="35"/>
      <c r="Q26" s="29"/>
      <c r="R26" s="31"/>
      <c r="S26" s="29"/>
      <c r="T26" s="29"/>
      <c r="U26" s="29"/>
    </row>
    <row r="27" spans="1:21" s="68" customFormat="1" ht="152.25" customHeight="1">
      <c r="A27" s="40"/>
      <c r="B27" s="40"/>
      <c r="C27" s="39"/>
      <c r="D27" s="39"/>
      <c r="E27" s="40"/>
      <c r="F27" s="40"/>
      <c r="G27" s="40"/>
      <c r="H27" s="41"/>
      <c r="I27" s="39"/>
      <c r="J27" s="42"/>
      <c r="K27" s="39"/>
      <c r="L27" s="39"/>
      <c r="M27" s="39"/>
      <c r="N27" s="43"/>
      <c r="O27" s="39"/>
      <c r="P27" s="39"/>
      <c r="Q27" s="44"/>
      <c r="R27" s="45"/>
      <c r="S27" s="44"/>
      <c r="T27" s="44"/>
      <c r="U27" s="44"/>
    </row>
    <row r="28" spans="1:21" s="68" customFormat="1" ht="76.5" customHeight="1">
      <c r="A28" s="36"/>
      <c r="B28" s="36"/>
      <c r="C28" s="35"/>
      <c r="D28" s="35"/>
      <c r="E28" s="36"/>
      <c r="F28" s="36"/>
      <c r="G28" s="36"/>
      <c r="H28" s="30"/>
      <c r="I28" s="35"/>
      <c r="J28" s="37"/>
      <c r="K28" s="35"/>
      <c r="L28" s="35"/>
      <c r="M28" s="35"/>
      <c r="N28" s="38"/>
      <c r="O28" s="35"/>
      <c r="P28" s="35"/>
      <c r="Q28" s="29"/>
      <c r="R28" s="31"/>
      <c r="S28" s="29"/>
      <c r="T28" s="29"/>
      <c r="U28" s="29"/>
    </row>
    <row r="29" spans="1:21" s="68" customFormat="1" ht="76.5" customHeight="1">
      <c r="A29" s="40"/>
      <c r="B29" s="40"/>
      <c r="C29" s="39"/>
      <c r="D29" s="39"/>
      <c r="E29" s="40"/>
      <c r="F29" s="40"/>
      <c r="G29" s="40"/>
      <c r="H29" s="41"/>
      <c r="I29" s="39"/>
      <c r="J29" s="42"/>
      <c r="K29" s="39"/>
      <c r="L29" s="39"/>
      <c r="M29" s="39"/>
      <c r="N29" s="43"/>
      <c r="O29" s="39"/>
      <c r="P29" s="39"/>
      <c r="Q29" s="44"/>
      <c r="R29" s="45"/>
      <c r="S29" s="44"/>
      <c r="T29" s="44"/>
      <c r="U29" s="44"/>
    </row>
    <row r="30" spans="1:21" s="68" customFormat="1" ht="76.5" customHeight="1">
      <c r="A30" s="36"/>
      <c r="B30" s="36"/>
      <c r="C30" s="35"/>
      <c r="D30" s="35"/>
      <c r="E30" s="36"/>
      <c r="F30" s="36"/>
      <c r="G30" s="36"/>
      <c r="H30" s="30"/>
      <c r="I30" s="35"/>
      <c r="J30" s="37"/>
      <c r="K30" s="35"/>
      <c r="L30" s="35"/>
      <c r="M30" s="35"/>
      <c r="N30" s="38"/>
      <c r="O30" s="35"/>
      <c r="P30" s="35"/>
      <c r="Q30" s="29"/>
      <c r="R30" s="31"/>
      <c r="S30" s="29"/>
      <c r="T30" s="29"/>
      <c r="U30" s="29"/>
    </row>
    <row r="31" spans="1:21" s="68" customFormat="1" ht="76.5" customHeight="1">
      <c r="A31" s="40"/>
      <c r="B31" s="40"/>
      <c r="C31" s="39"/>
      <c r="D31" s="39"/>
      <c r="E31" s="40"/>
      <c r="F31" s="40"/>
      <c r="G31" s="40"/>
      <c r="H31" s="41"/>
      <c r="I31" s="39"/>
      <c r="J31" s="42"/>
      <c r="K31" s="39"/>
      <c r="L31" s="39"/>
      <c r="M31" s="39"/>
      <c r="N31" s="43"/>
      <c r="O31" s="39"/>
      <c r="P31" s="39"/>
      <c r="Q31" s="44"/>
      <c r="R31" s="45"/>
      <c r="S31" s="44"/>
      <c r="T31" s="44"/>
      <c r="U31" s="44"/>
    </row>
    <row r="32" spans="1:21" s="68" customFormat="1" ht="76.5" customHeight="1">
      <c r="A32" s="36"/>
      <c r="B32" s="36"/>
      <c r="C32" s="35"/>
      <c r="D32" s="35"/>
      <c r="E32" s="36"/>
      <c r="F32" s="36"/>
      <c r="G32" s="36"/>
      <c r="H32" s="30"/>
      <c r="I32" s="35"/>
      <c r="J32" s="37"/>
      <c r="K32" s="35"/>
      <c r="L32" s="35"/>
      <c r="M32" s="35"/>
      <c r="N32" s="38"/>
      <c r="O32" s="35"/>
      <c r="P32" s="35"/>
      <c r="Q32" s="29"/>
      <c r="R32" s="31"/>
      <c r="S32" s="29"/>
      <c r="T32" s="29"/>
      <c r="U32" s="29"/>
    </row>
    <row r="33" spans="1:21" s="68" customFormat="1" ht="76.5" customHeight="1">
      <c r="A33" s="40"/>
      <c r="B33" s="40"/>
      <c r="C33" s="39"/>
      <c r="D33" s="39"/>
      <c r="E33" s="40"/>
      <c r="F33" s="40"/>
      <c r="G33" s="40"/>
      <c r="H33" s="41"/>
      <c r="I33" s="39"/>
      <c r="J33" s="42"/>
      <c r="K33" s="39"/>
      <c r="L33" s="39"/>
      <c r="M33" s="39"/>
      <c r="N33" s="43"/>
      <c r="O33" s="39"/>
      <c r="P33" s="39"/>
      <c r="Q33" s="44"/>
      <c r="R33" s="45"/>
      <c r="S33" s="44"/>
      <c r="T33" s="44"/>
      <c r="U33" s="44"/>
    </row>
    <row r="34" spans="1:21" s="68" customFormat="1" ht="76.5" customHeight="1">
      <c r="A34" s="36"/>
      <c r="B34" s="36"/>
      <c r="C34" s="35"/>
      <c r="D34" s="35"/>
      <c r="E34" s="36"/>
      <c r="F34" s="36"/>
      <c r="G34" s="36"/>
      <c r="H34" s="30"/>
      <c r="I34" s="35"/>
      <c r="J34" s="37"/>
      <c r="K34" s="35"/>
      <c r="L34" s="35"/>
      <c r="M34" s="35"/>
      <c r="N34" s="38"/>
      <c r="O34" s="35"/>
      <c r="P34" s="35"/>
      <c r="Q34" s="29"/>
      <c r="R34" s="31"/>
      <c r="S34" s="29"/>
      <c r="T34" s="29"/>
      <c r="U34" s="29"/>
    </row>
    <row r="35" spans="1:21" s="68" customFormat="1" ht="76.5" customHeight="1">
      <c r="A35" s="40"/>
      <c r="B35" s="40"/>
      <c r="C35" s="39"/>
      <c r="D35" s="39"/>
      <c r="E35" s="40"/>
      <c r="F35" s="40"/>
      <c r="G35" s="40"/>
      <c r="H35" s="41"/>
      <c r="I35" s="39"/>
      <c r="J35" s="42"/>
      <c r="K35" s="39"/>
      <c r="L35" s="39"/>
      <c r="M35" s="39"/>
      <c r="N35" s="43"/>
      <c r="O35" s="39"/>
      <c r="P35" s="39"/>
      <c r="Q35" s="44"/>
      <c r="R35" s="45"/>
      <c r="S35" s="44"/>
      <c r="T35" s="44"/>
      <c r="U35" s="44"/>
    </row>
    <row r="36" spans="1:21">
      <c r="J36" s="3"/>
      <c r="M36" s="3"/>
      <c r="N36" s="3"/>
      <c r="Q36" s="3"/>
      <c r="R36" s="3"/>
      <c r="U36" s="3"/>
    </row>
    <row r="37" spans="1:21">
      <c r="J37" s="3"/>
      <c r="M37" s="3"/>
      <c r="N37" s="3"/>
      <c r="Q37" s="3"/>
      <c r="R37" s="3"/>
      <c r="U37" s="3"/>
    </row>
  </sheetData>
  <mergeCells count="13">
    <mergeCell ref="B4:D4"/>
    <mergeCell ref="J1:K1"/>
    <mergeCell ref="N1:O1"/>
    <mergeCell ref="R1:S1"/>
    <mergeCell ref="B2:D2"/>
    <mergeCell ref="B3:D3"/>
    <mergeCell ref="B11:D11"/>
    <mergeCell ref="B5:D5"/>
    <mergeCell ref="B6:D6"/>
    <mergeCell ref="B7:D7"/>
    <mergeCell ref="B8:D8"/>
    <mergeCell ref="B9:D9"/>
    <mergeCell ref="B10:D10"/>
  </mergeCells>
  <phoneticPr fontId="40" type="noConversion"/>
  <conditionalFormatting sqref="I14:I21">
    <cfRule type="containsText" dxfId="86" priority="156" operator="containsText" text="1 - Critical">
      <formula>NOT(ISERROR(SEARCH("1 - Critical",I14)))</formula>
    </cfRule>
    <cfRule type="containsText" dxfId="85" priority="153" operator="containsText" text="4 - Low">
      <formula>NOT(ISERROR(SEARCH("4 - Low",I14)))</formula>
    </cfRule>
    <cfRule type="containsText" dxfId="84" priority="154" operator="containsText" text="3 - Minor">
      <formula>NOT(ISERROR(SEARCH("3 - Minor",I14)))</formula>
    </cfRule>
    <cfRule type="containsText" dxfId="83" priority="155" operator="containsText" text="2 - Major">
      <formula>NOT(ISERROR(SEARCH("2 - Major",I14)))</formula>
    </cfRule>
  </conditionalFormatting>
  <conditionalFormatting sqref="I22:I35">
    <cfRule type="containsText" dxfId="82" priority="38" operator="containsText" text="2 - Major">
      <formula>NOT(ISERROR(SEARCH("2 - Major",I22)))</formula>
    </cfRule>
    <cfRule type="containsText" dxfId="81" priority="37" operator="containsText" text="3 - Minor">
      <formula>NOT(ISERROR(SEARCH("3 - Minor",I22)))</formula>
    </cfRule>
    <cfRule type="containsText" dxfId="80" priority="36" operator="containsText" text="4 - Low">
      <formula>NOT(ISERROR(SEARCH("4 - Low",I22)))</formula>
    </cfRule>
    <cfRule type="containsText" dxfId="79" priority="39" operator="containsText" text="1 - Critical">
      <formula>NOT(ISERROR(SEARCH("1 - Critical",I22)))</formula>
    </cfRule>
  </conditionalFormatting>
  <conditionalFormatting sqref="J14:J21">
    <cfRule type="cellIs" dxfId="78" priority="19" operator="equal">
      <formula>"FAILED"</formula>
    </cfRule>
    <cfRule type="cellIs" dxfId="77" priority="20" operator="equal">
      <formula>"PASSED"</formula>
    </cfRule>
    <cfRule type="cellIs" dxfId="76" priority="16" operator="equal">
      <formula>"W_A_D"</formula>
    </cfRule>
    <cfRule type="cellIs" dxfId="75" priority="17" operator="equal">
      <formula>"NOT TESTED"</formula>
    </cfRule>
    <cfRule type="cellIs" dxfId="74" priority="18" operator="equal">
      <formula>"PARTIAL PASSED"</formula>
    </cfRule>
  </conditionalFormatting>
  <conditionalFormatting sqref="J22:J35">
    <cfRule type="cellIs" dxfId="73" priority="11" operator="equal">
      <formula>"W_A_D"</formula>
    </cfRule>
    <cfRule type="cellIs" dxfId="72" priority="12" operator="equal">
      <formula>"NOT TESTED"</formula>
    </cfRule>
    <cfRule type="cellIs" dxfId="71" priority="13" operator="equal">
      <formula>"PARTIAL PASSED"</formula>
    </cfRule>
    <cfRule type="cellIs" dxfId="70" priority="14" operator="equal">
      <formula>"FAILED"</formula>
    </cfRule>
    <cfRule type="cellIs" dxfId="69" priority="15" operator="equal">
      <formula>"PASSED"</formula>
    </cfRule>
  </conditionalFormatting>
  <conditionalFormatting sqref="N14:N21">
    <cfRule type="cellIs" dxfId="68" priority="6" operator="equal">
      <formula>"W_A_D"</formula>
    </cfRule>
    <cfRule type="cellIs" dxfId="67" priority="10" operator="equal">
      <formula>"PASSED"</formula>
    </cfRule>
    <cfRule type="cellIs" dxfId="66" priority="9" operator="equal">
      <formula>"FAILED"</formula>
    </cfRule>
    <cfRule type="cellIs" dxfId="65" priority="8" operator="equal">
      <formula>"PARTIAL PASSED"</formula>
    </cfRule>
    <cfRule type="cellIs" dxfId="64" priority="7" operator="equal">
      <formula>"NOT TESTED"</formula>
    </cfRule>
  </conditionalFormatting>
  <conditionalFormatting sqref="N22:N35">
    <cfRule type="cellIs" dxfId="63" priority="5" operator="equal">
      <formula>"PASSED"</formula>
    </cfRule>
    <cfRule type="cellIs" dxfId="62" priority="4" operator="equal">
      <formula>"FAILED"</formula>
    </cfRule>
    <cfRule type="cellIs" dxfId="61" priority="3" operator="equal">
      <formula>"PARTIAL PASSED"</formula>
    </cfRule>
    <cfRule type="cellIs" dxfId="60" priority="2" operator="equal">
      <formula>"NOT TESTED"</formula>
    </cfRule>
    <cfRule type="cellIs" dxfId="59" priority="1" operator="equal">
      <formula>"W_A_D"</formula>
    </cfRule>
  </conditionalFormatting>
  <conditionalFormatting sqref="R14:R21">
    <cfRule type="cellIs" dxfId="58" priority="161" operator="equal">
      <formula>"PASSED"</formula>
    </cfRule>
    <cfRule type="cellIs" dxfId="57" priority="159" operator="equal">
      <formula>"PARTIAL PASSED"</formula>
    </cfRule>
    <cfRule type="cellIs" dxfId="56" priority="158" operator="equal">
      <formula>"NOT TESTED"</formula>
    </cfRule>
    <cfRule type="cellIs" dxfId="55" priority="157" operator="equal">
      <formula>"W_A_D"</formula>
    </cfRule>
    <cfRule type="cellIs" dxfId="54" priority="160" operator="equal">
      <formula>"FAILED"</formula>
    </cfRule>
  </conditionalFormatting>
  <conditionalFormatting sqref="R22:R35">
    <cfRule type="cellIs" dxfId="53" priority="44" operator="equal">
      <formula>"PASSED"</formula>
    </cfRule>
    <cfRule type="cellIs" dxfId="52" priority="43" operator="equal">
      <formula>"FAILED"</formula>
    </cfRule>
    <cfRule type="cellIs" dxfId="51" priority="42" operator="equal">
      <formula>"PARTIAL PASSED"</formula>
    </cfRule>
    <cfRule type="cellIs" dxfId="50" priority="41" operator="equal">
      <formula>"NOT TESTED"</formula>
    </cfRule>
    <cfRule type="cellIs" dxfId="49" priority="40" operator="equal">
      <formula>"W_A_D"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79998168889431442"/>
  </sheetPr>
  <dimension ref="A1:U40"/>
  <sheetViews>
    <sheetView topLeftCell="A2" zoomScale="75" zoomScaleNormal="60" workbookViewId="0">
      <selection activeCell="E28" sqref="E28"/>
    </sheetView>
  </sheetViews>
  <sheetFormatPr baseColWidth="10" defaultColWidth="9" defaultRowHeight="15"/>
  <cols>
    <col min="1" max="1" width="19.6640625" style="78" bestFit="1" customWidth="1"/>
    <col min="2" max="2" width="11.6640625" style="78" bestFit="1" customWidth="1"/>
    <col min="3" max="3" width="15.5" style="78" bestFit="1" customWidth="1"/>
    <col min="4" max="4" width="17.6640625" style="78" bestFit="1" customWidth="1"/>
    <col min="5" max="5" width="42.83203125" style="78" customWidth="1"/>
    <col min="6" max="6" width="13.5" style="78" customWidth="1"/>
    <col min="7" max="7" width="71.1640625" style="78" customWidth="1"/>
    <col min="8" max="8" width="58.1640625" style="78" bestFit="1" customWidth="1"/>
    <col min="9" max="9" width="15.6640625" style="78" bestFit="1" customWidth="1"/>
    <col min="10" max="10" width="14.6640625" style="89" customWidth="1"/>
    <col min="11" max="11" width="97.6640625" style="78" customWidth="1"/>
    <col min="12" max="12" width="27.6640625" style="78" bestFit="1" customWidth="1"/>
    <col min="13" max="13" width="19.1640625" style="80" bestFit="1" customWidth="1"/>
    <col min="14" max="14" width="14.6640625" style="89" customWidth="1"/>
    <col min="15" max="15" width="229" style="78" customWidth="1"/>
    <col min="16" max="16" width="28.6640625" style="78" customWidth="1"/>
    <col min="17" max="17" width="20.83203125" style="80" bestFit="1" customWidth="1"/>
    <col min="18" max="18" width="14.6640625" style="89" customWidth="1"/>
    <col min="19" max="19" width="18.6640625" style="78" bestFit="1" customWidth="1"/>
    <col min="20" max="20" width="27.33203125" style="78" bestFit="1" customWidth="1"/>
    <col min="21" max="21" width="18.6640625" style="80" bestFit="1" customWidth="1"/>
    <col min="22" max="16384" width="9" style="78"/>
  </cols>
  <sheetData>
    <row r="1" spans="1:21" ht="21.75" customHeight="1">
      <c r="A1" s="73" t="s">
        <v>1</v>
      </c>
      <c r="B1" s="74"/>
      <c r="C1" s="75"/>
      <c r="D1" s="75"/>
      <c r="E1" s="76" t="s">
        <v>2</v>
      </c>
      <c r="F1" s="73"/>
      <c r="G1" s="77"/>
      <c r="H1" s="73"/>
      <c r="J1" s="162" t="s">
        <v>3</v>
      </c>
      <c r="K1" s="162"/>
      <c r="L1" s="79"/>
      <c r="N1" s="162" t="s">
        <v>4</v>
      </c>
      <c r="O1" s="162"/>
      <c r="P1" s="79"/>
      <c r="R1" s="162" t="s">
        <v>5</v>
      </c>
      <c r="S1" s="162"/>
      <c r="T1" s="81"/>
    </row>
    <row r="2" spans="1:21" ht="75" customHeight="1">
      <c r="A2" s="82" t="s">
        <v>6</v>
      </c>
      <c r="B2" s="163" t="s">
        <v>50</v>
      </c>
      <c r="C2" s="164"/>
      <c r="D2" s="165"/>
      <c r="E2" s="82" t="s">
        <v>8</v>
      </c>
      <c r="F2" s="83"/>
      <c r="J2" s="84" t="s">
        <v>9</v>
      </c>
      <c r="K2" s="85">
        <f>COUNTIF(J14:J69,"PASSED")</f>
        <v>0</v>
      </c>
      <c r="L2" s="85"/>
      <c r="N2" s="84" t="s">
        <v>9</v>
      </c>
      <c r="O2" s="85">
        <f>COUNTIF(N14:N69,"PASSED")</f>
        <v>0</v>
      </c>
      <c r="P2" s="85"/>
      <c r="R2" s="84" t="s">
        <v>9</v>
      </c>
      <c r="S2" s="85">
        <f>COUNTIF(R14:R69,"PASSED")</f>
        <v>0</v>
      </c>
      <c r="T2" s="85"/>
    </row>
    <row r="3" spans="1:21" ht="17">
      <c r="A3" s="86" t="s">
        <v>10</v>
      </c>
      <c r="B3" s="159"/>
      <c r="C3" s="160"/>
      <c r="D3" s="161"/>
      <c r="E3" s="86" t="s">
        <v>11</v>
      </c>
      <c r="F3" s="87"/>
      <c r="J3" s="84" t="s">
        <v>12</v>
      </c>
      <c r="K3" s="85">
        <f>COUNTIF(J14:J70,"FAILED")</f>
        <v>0</v>
      </c>
      <c r="L3" s="85"/>
      <c r="N3" s="84" t="s">
        <v>12</v>
      </c>
      <c r="O3" s="85">
        <f>COUNTIF(N14:N70,"FAILED")</f>
        <v>0</v>
      </c>
      <c r="P3" s="85"/>
      <c r="R3" s="84" t="s">
        <v>12</v>
      </c>
      <c r="S3" s="85">
        <f>COUNTIF(R14:R70,"FAILED")</f>
        <v>0</v>
      </c>
      <c r="T3" s="85"/>
    </row>
    <row r="4" spans="1:21" ht="17">
      <c r="A4" s="86" t="s">
        <v>13</v>
      </c>
      <c r="B4" s="159"/>
      <c r="C4" s="160"/>
      <c r="D4" s="161"/>
      <c r="E4" s="86" t="s">
        <v>11</v>
      </c>
      <c r="F4" s="87"/>
      <c r="J4" s="84" t="s">
        <v>15</v>
      </c>
      <c r="K4" s="85">
        <f>COUNTIF(J14:J71,"BLOCKED")</f>
        <v>0</v>
      </c>
      <c r="L4" s="85"/>
      <c r="N4" s="84" t="s">
        <v>15</v>
      </c>
      <c r="O4" s="85">
        <f>COUNTIF(N14:N71,"BLOCKED")</f>
        <v>0</v>
      </c>
      <c r="P4" s="85"/>
      <c r="R4" s="84" t="s">
        <v>15</v>
      </c>
      <c r="S4" s="85">
        <f>COUNTIF(R14:R71,"BLOCKED")</f>
        <v>0</v>
      </c>
      <c r="T4" s="85"/>
    </row>
    <row r="5" spans="1:21" ht="17">
      <c r="A5" s="86" t="s">
        <v>16</v>
      </c>
      <c r="B5" s="169"/>
      <c r="C5" s="170"/>
      <c r="D5" s="171"/>
      <c r="E5" s="86" t="s">
        <v>11</v>
      </c>
      <c r="F5" s="87"/>
      <c r="J5" s="84" t="s">
        <v>17</v>
      </c>
      <c r="K5" s="85">
        <f>COUNTIF(J14:J72,"PARTIAL PASSED")</f>
        <v>0</v>
      </c>
      <c r="L5" s="85"/>
      <c r="N5" s="84" t="s">
        <v>17</v>
      </c>
      <c r="O5" s="85">
        <f>COUNTIF(N14:N72,"PARTIAL PASSED")</f>
        <v>0</v>
      </c>
      <c r="P5" s="85"/>
      <c r="R5" s="84" t="s">
        <v>17</v>
      </c>
      <c r="S5" s="85">
        <f>COUNTIF(R14:R72,"PARTIAL PASSED")</f>
        <v>0</v>
      </c>
      <c r="T5" s="85"/>
    </row>
    <row r="6" spans="1:21" ht="17">
      <c r="A6" s="86" t="s">
        <v>18</v>
      </c>
      <c r="B6" s="169"/>
      <c r="C6" s="170"/>
      <c r="D6" s="171"/>
      <c r="E6" s="86" t="s">
        <v>11</v>
      </c>
      <c r="F6" s="87"/>
      <c r="J6" s="88" t="s">
        <v>19</v>
      </c>
      <c r="K6" s="85">
        <f>COUNTIF(J14:J72,"W_A_D")</f>
        <v>0</v>
      </c>
      <c r="L6" s="85"/>
      <c r="N6" s="88" t="s">
        <v>19</v>
      </c>
      <c r="O6" s="85"/>
      <c r="P6" s="85"/>
      <c r="R6" s="88" t="s">
        <v>19</v>
      </c>
      <c r="S6" s="85"/>
      <c r="T6" s="85"/>
    </row>
    <row r="7" spans="1:21" ht="17">
      <c r="A7" s="86" t="s">
        <v>20</v>
      </c>
      <c r="B7" s="169"/>
      <c r="C7" s="170"/>
      <c r="D7" s="171"/>
      <c r="E7" s="86" t="s">
        <v>11</v>
      </c>
      <c r="F7" s="87"/>
      <c r="K7" s="85"/>
      <c r="L7" s="85"/>
      <c r="O7" s="85"/>
      <c r="P7" s="85"/>
      <c r="S7" s="85"/>
      <c r="T7" s="85"/>
    </row>
    <row r="8" spans="1:21" ht="17">
      <c r="A8" s="86"/>
      <c r="B8" s="169"/>
      <c r="C8" s="170"/>
      <c r="D8" s="171"/>
      <c r="E8" s="86" t="s">
        <v>11</v>
      </c>
      <c r="F8" s="87"/>
      <c r="K8" s="85"/>
      <c r="L8" s="85"/>
      <c r="O8" s="85"/>
      <c r="P8" s="85"/>
      <c r="S8" s="85"/>
      <c r="T8" s="85"/>
    </row>
    <row r="9" spans="1:21" ht="17">
      <c r="A9" s="90" t="s">
        <v>21</v>
      </c>
      <c r="B9" s="166"/>
      <c r="C9" s="167"/>
      <c r="D9" s="168"/>
      <c r="E9" s="91"/>
      <c r="F9" s="91"/>
    </row>
    <row r="10" spans="1:21" ht="17">
      <c r="A10" s="90" t="s">
        <v>22</v>
      </c>
      <c r="B10" s="166"/>
      <c r="C10" s="167"/>
      <c r="D10" s="168"/>
      <c r="E10" s="91"/>
      <c r="F10" s="91"/>
    </row>
    <row r="11" spans="1:21" ht="17">
      <c r="A11" s="90" t="s">
        <v>23</v>
      </c>
      <c r="B11" s="166"/>
      <c r="C11" s="167"/>
      <c r="D11" s="168"/>
      <c r="E11" s="91"/>
      <c r="F11" s="91"/>
    </row>
    <row r="12" spans="1:21">
      <c r="A12" s="92"/>
      <c r="B12" s="80"/>
      <c r="C12" s="80"/>
      <c r="D12" s="80"/>
      <c r="H12" s="89"/>
      <c r="I12" s="89"/>
    </row>
    <row r="13" spans="1:21" s="96" customFormat="1" ht="32.25" customHeight="1">
      <c r="A13" s="93" t="s">
        <v>24</v>
      </c>
      <c r="B13" s="93" t="s">
        <v>25</v>
      </c>
      <c r="C13" s="93" t="s">
        <v>26</v>
      </c>
      <c r="D13" s="93" t="s">
        <v>27</v>
      </c>
      <c r="E13" s="93" t="s">
        <v>28</v>
      </c>
      <c r="F13" s="93" t="s">
        <v>29</v>
      </c>
      <c r="G13" s="93" t="s">
        <v>30</v>
      </c>
      <c r="H13" s="93" t="s">
        <v>31</v>
      </c>
      <c r="I13" s="94" t="s">
        <v>32</v>
      </c>
      <c r="J13" s="93" t="s">
        <v>33</v>
      </c>
      <c r="K13" s="95" t="s">
        <v>34</v>
      </c>
      <c r="L13" s="93" t="s">
        <v>35</v>
      </c>
      <c r="M13" s="93" t="s">
        <v>36</v>
      </c>
      <c r="N13" s="93" t="s">
        <v>37</v>
      </c>
      <c r="O13" s="95" t="s">
        <v>38</v>
      </c>
      <c r="P13" s="93" t="s">
        <v>39</v>
      </c>
      <c r="Q13" s="93" t="s">
        <v>40</v>
      </c>
      <c r="R13" s="93" t="s">
        <v>41</v>
      </c>
      <c r="S13" s="95" t="s">
        <v>42</v>
      </c>
      <c r="T13" s="93" t="s">
        <v>43</v>
      </c>
      <c r="U13" s="93" t="s">
        <v>44</v>
      </c>
    </row>
    <row r="14" spans="1:21" s="101" customFormat="1" ht="16">
      <c r="A14" s="147"/>
      <c r="B14" s="147"/>
      <c r="C14" s="148"/>
      <c r="D14" s="148"/>
      <c r="E14" s="147"/>
      <c r="F14" s="147"/>
      <c r="G14" s="147"/>
      <c r="H14" s="147"/>
      <c r="I14" s="148"/>
      <c r="J14" s="98"/>
      <c r="K14" s="97"/>
      <c r="L14" s="97"/>
      <c r="M14" s="148"/>
      <c r="N14" s="98"/>
      <c r="O14" s="97"/>
      <c r="P14" s="97"/>
      <c r="Q14" s="99"/>
      <c r="R14" s="100"/>
    </row>
    <row r="15" spans="1:21" s="101" customFormat="1" ht="16">
      <c r="A15" s="134"/>
      <c r="B15" s="134"/>
      <c r="C15" s="149"/>
      <c r="D15" s="149"/>
      <c r="E15" s="134"/>
      <c r="F15" s="134"/>
      <c r="G15" s="134"/>
      <c r="H15" s="134"/>
      <c r="I15" s="149"/>
      <c r="J15" s="103"/>
      <c r="K15" s="102"/>
      <c r="L15" s="102"/>
      <c r="M15" s="149"/>
      <c r="N15" s="103"/>
      <c r="O15" s="102"/>
      <c r="P15" s="102"/>
      <c r="Q15" s="104"/>
      <c r="R15" s="105"/>
      <c r="S15" s="106"/>
      <c r="T15" s="106"/>
      <c r="U15" s="106"/>
    </row>
    <row r="16" spans="1:21" s="101" customFormat="1" ht="16">
      <c r="A16" s="126"/>
      <c r="B16" s="126"/>
      <c r="C16" s="150"/>
      <c r="D16" s="150"/>
      <c r="E16" s="126"/>
      <c r="F16" s="126"/>
      <c r="G16" s="126"/>
      <c r="H16" s="126"/>
      <c r="I16" s="107"/>
      <c r="J16" s="98"/>
      <c r="K16" s="107"/>
      <c r="L16" s="150"/>
      <c r="M16" s="150"/>
      <c r="N16" s="103"/>
      <c r="O16" s="107"/>
      <c r="P16" s="107"/>
      <c r="Q16" s="108"/>
      <c r="R16" s="109"/>
      <c r="S16" s="110"/>
      <c r="T16" s="110"/>
      <c r="U16" s="110"/>
    </row>
    <row r="17" spans="1:21" s="116" customFormat="1" ht="16">
      <c r="A17" s="134"/>
      <c r="B17" s="134"/>
      <c r="C17" s="149"/>
      <c r="D17" s="149"/>
      <c r="E17" s="134"/>
      <c r="F17" s="134"/>
      <c r="G17" s="134"/>
      <c r="H17" s="134"/>
      <c r="I17" s="111"/>
      <c r="J17" s="112"/>
      <c r="K17" s="111"/>
      <c r="L17" s="149"/>
      <c r="M17" s="149"/>
      <c r="N17" s="113"/>
      <c r="O17" s="111"/>
      <c r="P17" s="111"/>
      <c r="Q17" s="114"/>
      <c r="R17" s="115"/>
      <c r="S17" s="114"/>
      <c r="T17" s="114"/>
      <c r="U17" s="114"/>
    </row>
    <row r="18" spans="1:21" s="116" customFormat="1" ht="16">
      <c r="A18" s="126"/>
      <c r="B18" s="126"/>
      <c r="C18" s="150"/>
      <c r="D18" s="150"/>
      <c r="E18" s="126"/>
      <c r="F18" s="126"/>
      <c r="G18" s="126"/>
      <c r="H18" s="126"/>
      <c r="I18" s="117"/>
      <c r="J18" s="118"/>
      <c r="K18" s="117"/>
      <c r="L18" s="150"/>
      <c r="M18" s="150"/>
      <c r="N18" s="119"/>
      <c r="O18" s="117"/>
      <c r="P18" s="117"/>
      <c r="Q18" s="120"/>
      <c r="R18" s="121"/>
      <c r="S18" s="120"/>
      <c r="T18" s="120"/>
      <c r="U18" s="120"/>
    </row>
    <row r="19" spans="1:21" s="101" customFormat="1" ht="21">
      <c r="A19" s="134"/>
      <c r="B19" s="134"/>
      <c r="C19" s="149"/>
      <c r="D19" s="149"/>
      <c r="E19" s="134"/>
      <c r="F19" s="134"/>
      <c r="G19" s="134"/>
      <c r="H19" s="134"/>
      <c r="I19" s="102"/>
      <c r="J19" s="98"/>
      <c r="K19" s="102"/>
      <c r="L19" s="149"/>
      <c r="M19" s="149"/>
      <c r="N19" s="98"/>
      <c r="O19" s="102"/>
      <c r="P19" s="122"/>
      <c r="Q19" s="123"/>
      <c r="R19" s="105"/>
      <c r="S19" s="106"/>
      <c r="T19" s="106"/>
      <c r="U19" s="106"/>
    </row>
    <row r="20" spans="1:21" s="131" customFormat="1" ht="16">
      <c r="A20" s="124"/>
      <c r="B20" s="124"/>
      <c r="C20" s="125"/>
      <c r="D20" s="150"/>
      <c r="E20" s="124"/>
      <c r="F20" s="124"/>
      <c r="G20" s="124"/>
      <c r="H20" s="126"/>
      <c r="I20" s="125"/>
      <c r="J20" s="127"/>
      <c r="K20" s="125"/>
      <c r="L20" s="125"/>
      <c r="M20" s="125"/>
      <c r="N20" s="128"/>
      <c r="O20" s="125"/>
      <c r="P20" s="125"/>
      <c r="Q20" s="129"/>
      <c r="R20" s="130"/>
      <c r="S20" s="129"/>
      <c r="T20" s="129"/>
      <c r="U20" s="129"/>
    </row>
    <row r="21" spans="1:21" s="131" customFormat="1" ht="16">
      <c r="A21" s="132"/>
      <c r="B21" s="132"/>
      <c r="C21" s="133"/>
      <c r="D21" s="149"/>
      <c r="E21" s="132"/>
      <c r="F21" s="132"/>
      <c r="G21" s="132"/>
      <c r="H21" s="134"/>
      <c r="I21" s="133"/>
      <c r="J21" s="135"/>
      <c r="K21" s="133"/>
      <c r="L21" s="133"/>
      <c r="M21" s="133"/>
      <c r="N21" s="136"/>
      <c r="O21" s="133"/>
      <c r="P21" s="133"/>
      <c r="Q21" s="137"/>
      <c r="R21" s="138"/>
      <c r="S21" s="137"/>
      <c r="T21" s="137"/>
      <c r="U21" s="137"/>
    </row>
    <row r="22" spans="1:21" s="141" customFormat="1" ht="21">
      <c r="A22" s="126"/>
      <c r="B22" s="126"/>
      <c r="C22" s="150"/>
      <c r="D22" s="150"/>
      <c r="E22" s="126"/>
      <c r="F22" s="126"/>
      <c r="G22" s="126"/>
      <c r="H22" s="126"/>
      <c r="I22" s="107"/>
      <c r="J22" s="98"/>
      <c r="K22" s="107"/>
      <c r="L22" s="150"/>
      <c r="M22" s="150"/>
      <c r="N22" s="98"/>
      <c r="O22" s="125"/>
      <c r="P22" s="139"/>
      <c r="Q22" s="140"/>
      <c r="R22" s="109"/>
      <c r="S22" s="110"/>
      <c r="T22" s="110"/>
      <c r="U22" s="110"/>
    </row>
    <row r="23" spans="1:21" s="141" customFormat="1" ht="21">
      <c r="A23" s="134"/>
      <c r="B23" s="134"/>
      <c r="C23" s="149"/>
      <c r="D23" s="149"/>
      <c r="E23" s="134"/>
      <c r="F23" s="134"/>
      <c r="G23" s="134"/>
      <c r="H23" s="134"/>
      <c r="I23" s="102"/>
      <c r="J23" s="98"/>
      <c r="K23" s="102"/>
      <c r="L23" s="149"/>
      <c r="M23" s="149"/>
      <c r="N23" s="98"/>
      <c r="O23" s="102"/>
      <c r="P23" s="122"/>
      <c r="Q23" s="123"/>
      <c r="R23" s="105"/>
      <c r="S23" s="106"/>
      <c r="T23" s="106"/>
      <c r="U23" s="106"/>
    </row>
    <row r="24" spans="1:21" s="142" customFormat="1" ht="16">
      <c r="A24" s="126"/>
      <c r="B24" s="126"/>
      <c r="C24" s="150"/>
      <c r="D24" s="150"/>
      <c r="E24" s="126"/>
      <c r="F24" s="126"/>
      <c r="G24" s="126"/>
      <c r="H24" s="126"/>
      <c r="I24" s="150"/>
      <c r="J24" s="151"/>
      <c r="K24" s="150"/>
      <c r="L24" s="150"/>
      <c r="M24" s="150"/>
      <c r="N24" s="119"/>
      <c r="O24" s="117"/>
      <c r="P24" s="117"/>
      <c r="Q24" s="120"/>
      <c r="R24" s="121"/>
      <c r="S24" s="120"/>
      <c r="T24" s="120"/>
      <c r="U24" s="120"/>
    </row>
    <row r="25" spans="1:21" s="116" customFormat="1" ht="16">
      <c r="A25" s="134"/>
      <c r="B25" s="134"/>
      <c r="C25" s="149"/>
      <c r="D25" s="149"/>
      <c r="E25" s="134"/>
      <c r="F25" s="134"/>
      <c r="G25" s="134"/>
      <c r="H25" s="134"/>
      <c r="I25" s="149"/>
      <c r="J25" s="152"/>
      <c r="K25" s="149"/>
      <c r="L25" s="149"/>
      <c r="M25" s="149"/>
      <c r="N25" s="113"/>
      <c r="O25" s="111"/>
      <c r="P25" s="111"/>
      <c r="Q25" s="114"/>
      <c r="R25" s="115"/>
      <c r="S25" s="114"/>
      <c r="T25" s="114"/>
      <c r="U25" s="114"/>
    </row>
    <row r="26" spans="1:21" s="142" customFormat="1" ht="16">
      <c r="A26" s="126"/>
      <c r="B26" s="126"/>
      <c r="C26" s="150"/>
      <c r="D26" s="150"/>
      <c r="E26" s="126"/>
      <c r="F26" s="126"/>
      <c r="G26" s="126"/>
      <c r="H26" s="126"/>
      <c r="I26" s="150"/>
      <c r="J26" s="151"/>
      <c r="K26" s="150"/>
      <c r="L26" s="150"/>
      <c r="M26" s="150"/>
      <c r="N26" s="119"/>
      <c r="O26" s="117"/>
      <c r="P26" s="117"/>
      <c r="Q26" s="120"/>
      <c r="R26" s="121"/>
      <c r="S26" s="120"/>
      <c r="T26" s="120"/>
      <c r="U26" s="120"/>
    </row>
    <row r="27" spans="1:21" s="142" customFormat="1" ht="16">
      <c r="A27" s="134"/>
      <c r="B27" s="134"/>
      <c r="C27" s="149"/>
      <c r="D27" s="149"/>
      <c r="E27" s="134"/>
      <c r="F27" s="134"/>
      <c r="G27" s="134"/>
      <c r="H27" s="134"/>
      <c r="I27" s="149"/>
      <c r="J27" s="151"/>
      <c r="K27" s="149"/>
      <c r="L27" s="149"/>
      <c r="M27" s="149"/>
      <c r="N27" s="113"/>
      <c r="O27" s="111"/>
      <c r="P27" s="111"/>
      <c r="Q27" s="114"/>
      <c r="R27" s="115"/>
      <c r="S27" s="114"/>
      <c r="T27" s="114"/>
      <c r="U27" s="114"/>
    </row>
    <row r="28" spans="1:21" s="142" customFormat="1" ht="16">
      <c r="A28" s="126"/>
      <c r="B28" s="126"/>
      <c r="C28" s="150"/>
      <c r="D28" s="150"/>
      <c r="E28" s="126"/>
      <c r="F28" s="126"/>
      <c r="G28" s="126"/>
      <c r="H28" s="126"/>
      <c r="I28" s="150"/>
      <c r="J28" s="151"/>
      <c r="K28" s="150"/>
      <c r="L28" s="150"/>
      <c r="M28" s="150"/>
      <c r="N28" s="119"/>
      <c r="O28" s="117"/>
      <c r="P28" s="117"/>
      <c r="Q28" s="120"/>
      <c r="R28" s="121"/>
      <c r="S28" s="120"/>
      <c r="T28" s="120"/>
      <c r="U28" s="120"/>
    </row>
    <row r="29" spans="1:21" s="101" customFormat="1" ht="21">
      <c r="A29" s="134"/>
      <c r="B29" s="134"/>
      <c r="C29" s="149"/>
      <c r="D29" s="149"/>
      <c r="E29" s="134"/>
      <c r="F29" s="134"/>
      <c r="G29" s="134"/>
      <c r="H29" s="134"/>
      <c r="I29" s="149"/>
      <c r="J29" s="152"/>
      <c r="K29" s="149"/>
      <c r="L29" s="149"/>
      <c r="M29" s="149"/>
      <c r="N29" s="98"/>
      <c r="O29" s="102"/>
      <c r="P29" s="122"/>
      <c r="Q29" s="123"/>
      <c r="R29" s="105"/>
      <c r="S29" s="106"/>
      <c r="T29" s="106"/>
      <c r="U29" s="106"/>
    </row>
    <row r="30" spans="1:21" s="142" customFormat="1" ht="16">
      <c r="A30" s="126"/>
      <c r="B30" s="126"/>
      <c r="C30" s="150"/>
      <c r="D30" s="150"/>
      <c r="E30" s="126"/>
      <c r="F30" s="126"/>
      <c r="G30" s="126"/>
      <c r="H30" s="126"/>
      <c r="I30" s="150"/>
      <c r="J30" s="151"/>
      <c r="K30" s="150"/>
      <c r="L30" s="150"/>
      <c r="M30" s="150"/>
      <c r="N30" s="153"/>
      <c r="O30" s="117"/>
      <c r="P30" s="117"/>
      <c r="Q30" s="120"/>
      <c r="R30" s="121"/>
      <c r="S30" s="120"/>
      <c r="T30" s="120"/>
      <c r="U30" s="120"/>
    </row>
    <row r="31" spans="1:21" s="142" customFormat="1" ht="16">
      <c r="A31" s="134"/>
      <c r="B31" s="134"/>
      <c r="C31" s="149"/>
      <c r="D31" s="149"/>
      <c r="E31" s="134"/>
      <c r="F31" s="134"/>
      <c r="G31" s="134"/>
      <c r="H31" s="134"/>
      <c r="I31" s="149"/>
      <c r="J31" s="151"/>
      <c r="K31" s="149"/>
      <c r="L31" s="149"/>
      <c r="M31" s="149"/>
      <c r="N31" s="154"/>
      <c r="O31" s="111"/>
      <c r="P31" s="111"/>
      <c r="Q31" s="114"/>
      <c r="R31" s="115"/>
      <c r="S31" s="114"/>
      <c r="T31" s="114"/>
      <c r="U31" s="114"/>
    </row>
    <row r="32" spans="1:21" s="142" customFormat="1" ht="16">
      <c r="A32" s="126"/>
      <c r="B32" s="126"/>
      <c r="C32" s="150"/>
      <c r="D32" s="150"/>
      <c r="E32" s="126"/>
      <c r="F32" s="126"/>
      <c r="G32" s="126"/>
      <c r="H32" s="126"/>
      <c r="I32" s="150"/>
      <c r="J32" s="151"/>
      <c r="K32" s="150"/>
      <c r="L32" s="150"/>
      <c r="M32" s="150"/>
      <c r="N32" s="153"/>
      <c r="O32" s="117"/>
      <c r="P32" s="117"/>
      <c r="Q32" s="120"/>
      <c r="R32" s="121"/>
      <c r="S32" s="120"/>
      <c r="T32" s="120"/>
      <c r="U32" s="120"/>
    </row>
    <row r="33" spans="1:21" s="142" customFormat="1" ht="16">
      <c r="A33" s="126"/>
      <c r="B33" s="126"/>
      <c r="C33" s="150"/>
      <c r="D33" s="150"/>
      <c r="E33" s="126"/>
      <c r="F33" s="126"/>
      <c r="G33" s="126"/>
      <c r="H33" s="126"/>
      <c r="I33" s="150"/>
      <c r="J33" s="151"/>
      <c r="K33" s="150"/>
      <c r="L33" s="150"/>
      <c r="M33" s="150"/>
      <c r="N33" s="153"/>
      <c r="O33" s="117"/>
      <c r="P33" s="117"/>
      <c r="Q33" s="120"/>
      <c r="R33" s="121"/>
      <c r="S33" s="120"/>
      <c r="T33" s="120"/>
      <c r="U33" s="120"/>
    </row>
    <row r="34" spans="1:21" s="142" customFormat="1" ht="16">
      <c r="A34" s="134"/>
      <c r="B34" s="134"/>
      <c r="C34" s="149"/>
      <c r="D34" s="149"/>
      <c r="E34" s="134"/>
      <c r="F34" s="134"/>
      <c r="G34" s="134"/>
      <c r="H34" s="134"/>
      <c r="I34" s="149"/>
      <c r="J34" s="151"/>
      <c r="K34" s="149"/>
      <c r="L34" s="149"/>
      <c r="M34" s="149"/>
      <c r="N34" s="154"/>
      <c r="O34" s="111"/>
      <c r="P34" s="111"/>
      <c r="Q34" s="114"/>
      <c r="R34" s="115"/>
      <c r="S34" s="114"/>
      <c r="T34" s="114"/>
      <c r="U34" s="114"/>
    </row>
    <row r="35" spans="1:21" s="142" customFormat="1" ht="16">
      <c r="A35" s="126"/>
      <c r="B35" s="126"/>
      <c r="C35" s="150"/>
      <c r="D35" s="150"/>
      <c r="E35" s="126"/>
      <c r="F35" s="126"/>
      <c r="G35" s="126"/>
      <c r="H35" s="126"/>
      <c r="I35" s="150"/>
      <c r="J35" s="151"/>
      <c r="K35" s="150"/>
      <c r="L35" s="150"/>
      <c r="M35" s="150"/>
      <c r="N35" s="119"/>
      <c r="O35" s="117"/>
      <c r="P35" s="117"/>
      <c r="Q35" s="120"/>
      <c r="R35" s="121"/>
      <c r="S35" s="120"/>
      <c r="T35" s="120"/>
      <c r="U35" s="120"/>
    </row>
    <row r="36" spans="1:21" s="141" customFormat="1" ht="21">
      <c r="A36" s="134"/>
      <c r="B36" s="134"/>
      <c r="C36" s="149"/>
      <c r="D36" s="149"/>
      <c r="E36" s="134"/>
      <c r="F36" s="134"/>
      <c r="G36" s="134"/>
      <c r="H36" s="134"/>
      <c r="I36" s="149"/>
      <c r="J36" s="151"/>
      <c r="K36" s="149"/>
      <c r="L36" s="149"/>
      <c r="M36" s="149"/>
      <c r="N36" s="151"/>
      <c r="O36" s="102"/>
      <c r="P36" s="122"/>
      <c r="Q36" s="123"/>
      <c r="R36" s="105"/>
      <c r="S36" s="106"/>
      <c r="T36" s="106"/>
      <c r="U36" s="106"/>
    </row>
    <row r="37" spans="1:21" s="142" customFormat="1" ht="16">
      <c r="A37" s="126"/>
      <c r="B37" s="126"/>
      <c r="C37" s="150"/>
      <c r="D37" s="150"/>
      <c r="E37" s="126"/>
      <c r="F37" s="126"/>
      <c r="G37" s="126"/>
      <c r="H37" s="126"/>
      <c r="I37" s="150"/>
      <c r="J37" s="151"/>
      <c r="K37" s="150"/>
      <c r="L37" s="150"/>
      <c r="M37" s="150"/>
      <c r="N37" s="153"/>
      <c r="O37" s="117"/>
      <c r="P37" s="117"/>
      <c r="Q37" s="108"/>
      <c r="R37" s="121"/>
      <c r="S37" s="120"/>
      <c r="T37" s="120"/>
      <c r="U37" s="120"/>
    </row>
    <row r="38" spans="1:21" s="141" customFormat="1" ht="16">
      <c r="A38" s="134"/>
      <c r="B38" s="134"/>
      <c r="C38" s="149"/>
      <c r="D38" s="149"/>
      <c r="E38" s="134"/>
      <c r="F38" s="134"/>
      <c r="G38" s="134"/>
      <c r="H38" s="134"/>
      <c r="I38" s="149"/>
      <c r="J38" s="152"/>
      <c r="K38" s="149"/>
      <c r="L38" s="149"/>
      <c r="M38" s="149"/>
      <c r="N38" s="151"/>
      <c r="O38" s="102"/>
      <c r="P38" s="102"/>
      <c r="Q38" s="104"/>
      <c r="R38" s="105"/>
      <c r="S38" s="106"/>
      <c r="T38" s="106"/>
      <c r="U38" s="106"/>
    </row>
    <row r="39" spans="1:21">
      <c r="J39" s="78"/>
      <c r="M39" s="78"/>
      <c r="N39" s="78"/>
      <c r="Q39" s="78"/>
      <c r="R39" s="78"/>
      <c r="U39" s="78"/>
    </row>
    <row r="40" spans="1:21">
      <c r="J40" s="78"/>
      <c r="M40" s="78"/>
      <c r="N40" s="78"/>
      <c r="Q40" s="78"/>
      <c r="R40" s="78"/>
      <c r="U40" s="78"/>
    </row>
  </sheetData>
  <mergeCells count="13">
    <mergeCell ref="B11:D11"/>
    <mergeCell ref="B5:D5"/>
    <mergeCell ref="B6:D6"/>
    <mergeCell ref="B7:D7"/>
    <mergeCell ref="B8:D8"/>
    <mergeCell ref="B9:D9"/>
    <mergeCell ref="B10:D10"/>
    <mergeCell ref="B4:D4"/>
    <mergeCell ref="J1:K1"/>
    <mergeCell ref="N1:O1"/>
    <mergeCell ref="R1:S1"/>
    <mergeCell ref="B2:D2"/>
    <mergeCell ref="B3:D3"/>
  </mergeCells>
  <phoneticPr fontId="40" type="noConversion"/>
  <conditionalFormatting sqref="I14:I20">
    <cfRule type="containsText" dxfId="48" priority="390" operator="containsText" text="1 - Critical">
      <formula>NOT(ISERROR(SEARCH("1 - Critical",I14)))</formula>
    </cfRule>
    <cfRule type="containsText" dxfId="47" priority="389" operator="containsText" text="2 - Major">
      <formula>NOT(ISERROR(SEARCH("2 - Major",I14)))</formula>
    </cfRule>
    <cfRule type="containsText" dxfId="46" priority="388" operator="containsText" text="3 - Minor">
      <formula>NOT(ISERROR(SEARCH("3 - Minor",I14)))</formula>
    </cfRule>
    <cfRule type="containsText" dxfId="45" priority="387" operator="containsText" text="4 - Low">
      <formula>NOT(ISERROR(SEARCH("4 - Low",I14)))</formula>
    </cfRule>
  </conditionalFormatting>
  <conditionalFormatting sqref="I29">
    <cfRule type="containsText" dxfId="40" priority="334" operator="containsText" text="4 - Low">
      <formula>NOT(ISERROR(SEARCH("4 - Low",I29)))</formula>
    </cfRule>
    <cfRule type="containsText" dxfId="39" priority="337" operator="containsText" text="1 - Critical">
      <formula>NOT(ISERROR(SEARCH("1 - Critical",I29)))</formula>
    </cfRule>
    <cfRule type="containsText" dxfId="38" priority="336" operator="containsText" text="2 - Major">
      <formula>NOT(ISERROR(SEARCH("2 - Major",I29)))</formula>
    </cfRule>
    <cfRule type="containsText" dxfId="37" priority="335" operator="containsText" text="3 - Minor">
      <formula>NOT(ISERROR(SEARCH("3 - Minor",I29)))</formula>
    </cfRule>
  </conditionalFormatting>
  <conditionalFormatting sqref="I35:I38">
    <cfRule type="containsText" dxfId="28" priority="237" operator="containsText" text="3 - Minor">
      <formula>NOT(ISERROR(SEARCH("3 - Minor",I35)))</formula>
    </cfRule>
    <cfRule type="containsText" dxfId="27" priority="236" operator="containsText" text="4 - Low">
      <formula>NOT(ISERROR(SEARCH("4 - Low",I35)))</formula>
    </cfRule>
    <cfRule type="containsText" dxfId="26" priority="239" operator="containsText" text="1 - Critical">
      <formula>NOT(ISERROR(SEARCH("1 - Critical",I35)))</formula>
    </cfRule>
    <cfRule type="containsText" dxfId="25" priority="238" operator="containsText" text="2 - Major">
      <formula>NOT(ISERROR(SEARCH("2 - Major",I35)))</formula>
    </cfRule>
  </conditionalFormatting>
  <conditionalFormatting sqref="J14">
    <cfRule type="cellIs" dxfId="24" priority="213" operator="equal">
      <formula>"W_A_D"</formula>
    </cfRule>
    <cfRule type="cellIs" dxfId="23" priority="214" operator="equal">
      <formula>"NOT TESTED"</formula>
    </cfRule>
    <cfRule type="cellIs" dxfId="22" priority="215" operator="equal">
      <formula>"PARTIAL PASSED"</formula>
    </cfRule>
    <cfRule type="cellIs" dxfId="21" priority="216" operator="equal">
      <formula>"FAILED"</formula>
    </cfRule>
    <cfRule type="cellIs" dxfId="20" priority="217" operator="equal">
      <formula>"PASSED"</formula>
    </cfRule>
  </conditionalFormatting>
  <conditionalFormatting sqref="J15:J38">
    <cfRule type="cellIs" dxfId="19" priority="90" operator="equal">
      <formula>"PASSED"</formula>
    </cfRule>
    <cfRule type="cellIs" dxfId="18" priority="89" operator="equal">
      <formula>"FAILED"</formula>
    </cfRule>
    <cfRule type="cellIs" dxfId="17" priority="88" operator="equal">
      <formula>"PARTIAL PASSED"</formula>
    </cfRule>
    <cfRule type="cellIs" dxfId="16" priority="87" operator="equal">
      <formula>"NOT TESTED"</formula>
    </cfRule>
    <cfRule type="cellIs" dxfId="15" priority="86" operator="equal">
      <formula>"W_A_D"</formula>
    </cfRule>
  </conditionalFormatting>
  <conditionalFormatting sqref="N14">
    <cfRule type="cellIs" dxfId="14" priority="78" operator="equal">
      <formula>"PARTIAL PASSED"</formula>
    </cfRule>
    <cfRule type="cellIs" dxfId="13" priority="76" operator="equal">
      <formula>"W_A_D"</formula>
    </cfRule>
    <cfRule type="cellIs" dxfId="12" priority="77" operator="equal">
      <formula>"NOT TESTED"</formula>
    </cfRule>
    <cfRule type="cellIs" dxfId="11" priority="79" operator="equal">
      <formula>"FAILED"</formula>
    </cfRule>
    <cfRule type="cellIs" dxfId="10" priority="80" operator="equal">
      <formula>"PASSED"</formula>
    </cfRule>
  </conditionalFormatting>
  <conditionalFormatting sqref="N15:N38">
    <cfRule type="cellIs" dxfId="9" priority="7" operator="equal">
      <formula>"NOT TESTED"</formula>
    </cfRule>
    <cfRule type="cellIs" dxfId="8" priority="8" operator="equal">
      <formula>"PARTIAL PASSED"</formula>
    </cfRule>
    <cfRule type="cellIs" dxfId="7" priority="9" operator="equal">
      <formula>"FAILED"</formula>
    </cfRule>
    <cfRule type="cellIs" dxfId="6" priority="10" operator="equal">
      <formula>"PASSED"</formula>
    </cfRule>
    <cfRule type="cellIs" dxfId="5" priority="6" operator="equal">
      <formula>"W_A_D"</formula>
    </cfRule>
  </conditionalFormatting>
  <conditionalFormatting sqref="R14:R38">
    <cfRule type="cellIs" dxfId="4" priority="222" operator="equal">
      <formula>"W_A_D"</formula>
    </cfRule>
    <cfRule type="cellIs" dxfId="3" priority="223" operator="equal">
      <formula>"NOT TESTED"</formula>
    </cfRule>
    <cfRule type="cellIs" dxfId="2" priority="224" operator="equal">
      <formula>"PARTIAL PASSED"</formula>
    </cfRule>
    <cfRule type="cellIs" dxfId="1" priority="225" operator="equal">
      <formula>"FAILED"</formula>
    </cfRule>
    <cfRule type="cellIs" dxfId="0" priority="226" operator="equal">
      <formula>"PASSED"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12" operator="containsText" text="1 - Critical" id="{29F0FB3E-4AC0-4718-9085-5927A847AFF1}">
            <xm:f>NOT(ISERROR(SEARCH("1 - Critical",'https://thaiairways365.sharepoint.com/sites/DP-DP-A/Shared Documents/CrewSE UAT_USE/Pilot/[20250609 TG UAT test cases - V1.0_use (Cabin ROSTER TEST)_21JUL2025.xlsx]5.'!#REF!)))</xm:f>
            <x14:dxf>
              <font>
                <b/>
                <i val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511" operator="containsText" text="2 - Major" id="{971B4527-6125-444F-AD61-958DDE26E07D}">
            <xm:f>NOT(ISERROR(SEARCH("2 - Major",'https://thaiairways365.sharepoint.com/sites/DP-DP-A/Shared Documents/CrewSE UAT_USE/Pilot/[20250609 TG UAT test cases - V1.0_use (Cabin ROSTER TEST)_21JUL2025.xlsx]5.'!#REF!)))</xm:f>
            <x14:dxf>
              <font>
                <b/>
                <i val="0"/>
              </font>
              <fill>
                <patternFill patternType="solid">
                  <bgColor rgb="FFFFC000"/>
                </patternFill>
              </fill>
            </x14:dxf>
          </x14:cfRule>
          <x14:cfRule type="containsText" priority="510" operator="containsText" text="3 - Minor" id="{29F2FAAA-286F-4B9F-A9CF-3D960C64A133}">
            <xm:f>NOT(ISERROR(SEARCH("3 - Minor",'https://thaiairways365.sharepoint.com/sites/DP-DP-A/Shared Documents/CrewSE UAT_USE/Pilot/[20250609 TG UAT test cases - V1.0_use (Cabin ROSTER TEST)_21JUL2025.xlsx]5.'!#REF!)))</xm:f>
            <x14:dxf>
              <font>
                <b/>
                <i val="0"/>
              </font>
              <fill>
                <patternFill patternType="solid">
                  <bgColor theme="7" tint="0.59996337778862885"/>
                </patternFill>
              </fill>
            </x14:dxf>
          </x14:cfRule>
          <x14:cfRule type="containsText" priority="509" operator="containsText" text="4 - Low" id="{BA173B7D-C01B-4A97-86EB-70B7E8B7277F}">
            <xm:f>NOT(ISERROR(SEARCH("4 - Low",'https://thaiairways365.sharepoint.com/sites/DP-DP-A/Shared Documents/CrewSE UAT_USE/Pilot/[20250609 TG UAT test cases - V1.0_use (Cabin ROSTER TEST)_21JUL2025.xlsx]5.'!#REF!)))</xm:f>
            <x14:dxf>
              <font>
                <b/>
                <i val="0"/>
              </font>
              <fill>
                <patternFill patternType="solid">
                  <bgColor theme="9" tint="0.59996337778862885"/>
                </patternFill>
              </fill>
            </x14:dxf>
          </x14:cfRule>
          <xm:sqref>I21:I28</xm:sqref>
        </x14:conditionalFormatting>
        <x14:conditionalFormatting xmlns:xm="http://schemas.microsoft.com/office/excel/2006/main">
          <x14:cfRule type="containsText" priority="218" operator="containsText" text="4 - Low" id="{545FCFCA-4114-4D31-BBBC-B5C977D9F406}">
            <xm:f>NOT(ISERROR(SEARCH("4 - Low",'https://thaiairways365.sharepoint.com/sites/DP-DP-A/Shared Documents/CrewSE UAT_USE/Pilot/[20250609 TG UAT test cases - V1.0_use (Cabin ROSTER TEST)_21JUL2025.xlsx]4.'!#REF!)))</xm:f>
            <x14:dxf>
              <font>
                <b/>
                <i val="0"/>
              </font>
              <fill>
                <patternFill patternType="solid">
                  <bgColor theme="9" tint="0.59996337778862885"/>
                </patternFill>
              </fill>
            </x14:dxf>
          </x14:cfRule>
          <x14:cfRule type="containsText" priority="219" operator="containsText" text="3 - Minor" id="{BF7D2951-7BB7-482A-B680-495424E2B86A}">
            <xm:f>NOT(ISERROR(SEARCH("3 - Minor",'https://thaiairways365.sharepoint.com/sites/DP-DP-A/Shared Documents/CrewSE UAT_USE/Pilot/[20250609 TG UAT test cases - V1.0_use (Cabin ROSTER TEST)_21JUL2025.xlsx]4.'!#REF!)))</xm:f>
            <x14:dxf>
              <font>
                <b/>
                <i val="0"/>
              </font>
              <fill>
                <patternFill patternType="solid">
                  <bgColor theme="7" tint="0.59996337778862885"/>
                </patternFill>
              </fill>
            </x14:dxf>
          </x14:cfRule>
          <x14:cfRule type="containsText" priority="220" operator="containsText" text="2 - Major" id="{7C9894B1-52D7-4421-AC48-2323D9EF6377}">
            <xm:f>NOT(ISERROR(SEARCH("2 - Major",'https://thaiairways365.sharepoint.com/sites/DP-DP-A/Shared Documents/CrewSE UAT_USE/Pilot/[20250609 TG UAT test cases - V1.0_use (Cabin ROSTER TEST)_21JUL2025.xlsx]4.'!#REF!)))</xm:f>
            <x14:dxf>
              <font>
                <b/>
                <i val="0"/>
              </font>
              <fill>
                <patternFill patternType="solid">
                  <bgColor rgb="FFFFC000"/>
                </patternFill>
              </fill>
            </x14:dxf>
          </x14:cfRule>
          <x14:cfRule type="containsText" priority="221" operator="containsText" text="1 - Critical" id="{EF76D382-1C3A-4E92-9178-6C6721DFAA4A}">
            <xm:f>NOT(ISERROR(SEARCH("1 - Critical",'https://thaiairways365.sharepoint.com/sites/DP-DP-A/Shared Documents/CrewSE UAT_USE/Pilot/[20250609 TG UAT test cases - V1.0_use (Cabin ROSTER TEST)_21JUL2025.xlsx]4.'!#REF!)))</xm:f>
            <x14:dxf>
              <font>
                <b/>
                <i val="0"/>
              </font>
              <fill>
                <patternFill patternType="solid">
                  <bgColor rgb="FFFF0000"/>
                </patternFill>
              </fill>
            </x14:dxf>
          </x14:cfRule>
          <xm:sqref>I30</xm:sqref>
        </x14:conditionalFormatting>
        <x14:conditionalFormatting xmlns:xm="http://schemas.microsoft.com/office/excel/2006/main">
          <x14:cfRule type="containsText" priority="381" operator="containsText" text="1 - Critical" id="{D06C6DEB-85BE-493A-B090-8DA50E0040ED}">
            <xm:f>NOT(ISERROR(SEARCH("1 - Critical",'https://thaiairways365.sharepoint.com/sites/DP-DP-A/Shared Documents/CrewSE UAT_USE/Pilot/[20250609 TG UAT test cases - V1.0_use (Cabin ROSTER TEST)_21JUL2025.xlsx]5.'!#REF!)))</xm:f>
            <x14:dxf>
              <font>
                <b/>
                <i val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380" operator="containsText" text="2 - Major" id="{3625DA51-EF25-499B-9016-925CC0BCF985}">
            <xm:f>NOT(ISERROR(SEARCH("2 - Major",'https://thaiairways365.sharepoint.com/sites/DP-DP-A/Shared Documents/CrewSE UAT_USE/Pilot/[20250609 TG UAT test cases - V1.0_use (Cabin ROSTER TEST)_21JUL2025.xlsx]5.'!#REF!)))</xm:f>
            <x14:dxf>
              <font>
                <b/>
                <i val="0"/>
              </font>
              <fill>
                <patternFill patternType="solid">
                  <bgColor rgb="FFFFC000"/>
                </patternFill>
              </fill>
            </x14:dxf>
          </x14:cfRule>
          <x14:cfRule type="containsText" priority="379" operator="containsText" text="3 - Minor" id="{84FF1225-72DD-4951-A09F-7D5084364058}">
            <xm:f>NOT(ISERROR(SEARCH("3 - Minor",'https://thaiairways365.sharepoint.com/sites/DP-DP-A/Shared Documents/CrewSE UAT_USE/Pilot/[20250609 TG UAT test cases - V1.0_use (Cabin ROSTER TEST)_21JUL2025.xlsx]5.'!#REF!)))</xm:f>
            <x14:dxf>
              <font>
                <b/>
                <i val="0"/>
              </font>
              <fill>
                <patternFill patternType="solid">
                  <bgColor theme="7" tint="0.59996337778862885"/>
                </patternFill>
              </fill>
            </x14:dxf>
          </x14:cfRule>
          <x14:cfRule type="containsText" priority="378" operator="containsText" text="4 - Low" id="{19A74CAD-1FD8-4180-BD18-135B24E8395F}">
            <xm:f>NOT(ISERROR(SEARCH("4 - Low",'https://thaiairways365.sharepoint.com/sites/DP-DP-A/Shared Documents/CrewSE UAT_USE/Pilot/[20250609 TG UAT test cases - V1.0_use (Cabin ROSTER TEST)_21JUL2025.xlsx]5.'!#REF!)))</xm:f>
            <x14:dxf>
              <font>
                <b/>
                <i val="0"/>
              </font>
              <fill>
                <patternFill patternType="solid">
                  <bgColor theme="9" tint="0.59996337778862885"/>
                </patternFill>
              </fill>
            </x14:dxf>
          </x14:cfRule>
          <xm:sqref>I31:I34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5393E6831C64A86D4F53AE5E0E320" ma:contentTypeVersion="17" ma:contentTypeDescription="Create a new document." ma:contentTypeScope="" ma:versionID="a50b490263454d8d5473143325f2863f">
  <xsd:schema xmlns:xsd="http://www.w3.org/2001/XMLSchema" xmlns:xs="http://www.w3.org/2001/XMLSchema" xmlns:p="http://schemas.microsoft.com/office/2006/metadata/properties" xmlns:ns2="c381a6d7-5c67-4da8-af46-c7c4ef659905" targetNamespace="http://schemas.microsoft.com/office/2006/metadata/properties" ma:root="true" ma:fieldsID="3ba23d21b2256fe4a9bcb09ac4efab6f" ns2:_="">
    <xsd:import namespace="c381a6d7-5c67-4da8-af46-c7c4ef6599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Descript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81a6d7-5c67-4da8-af46-c7c4ef6599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8b0aadc-12a5-459b-b374-a4cf29cd69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Descriptions" ma:index="20" nillable="true" ma:displayName="Descriptions" ma:format="Dropdown" ma:internalName="Descriptions">
      <xsd:simpleType>
        <xsd:restriction base="dms:Text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s xmlns="c381a6d7-5c67-4da8-af46-c7c4ef659905" xsi:nil="true"/>
    <lcf76f155ced4ddcb4097134ff3c332f xmlns="c381a6d7-5c67-4da8-af46-c7c4ef6599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4831AC-C3FC-4266-A681-55DA662666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81a6d7-5c67-4da8-af46-c7c4ef6599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A3ECFB-9D40-4D40-99B4-5E8AA9A226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A71F81-241A-4365-93FB-DD0A09ECF34F}">
  <ds:schemaRefs>
    <ds:schemaRef ds:uri="http://schemas.microsoft.com/office/2006/metadata/properties"/>
    <ds:schemaRef ds:uri="http://schemas.microsoft.com/office/infopath/2007/PartnerControls"/>
    <ds:schemaRef ds:uri="c381a6d7-5c67-4da8-af46-c7c4ef6599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1.1_CC</vt:lpstr>
      <vt:lpstr>1.1_FD</vt:lpstr>
      <vt:lpstr>2.</vt:lpstr>
      <vt:lpstr>3.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Aspen Sang</dc:creator>
  <cp:keywords/>
  <dc:description/>
  <cp:lastModifiedBy>Ryan Ruan</cp:lastModifiedBy>
  <cp:revision/>
  <dcterms:created xsi:type="dcterms:W3CDTF">2023-05-12T19:15:00Z</dcterms:created>
  <dcterms:modified xsi:type="dcterms:W3CDTF">2026-08-25T09:37:08Z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E4567EC9BB1144549CEF34736672D3F6_13</vt:lpwstr>
  </property>
  <property fmtid="{D5CDD505-2E9C-101B-9397-08002B2CF9AE}" pid="4" name="ContentTypeId">
    <vt:lpwstr>0x0101006255393E6831C64A86D4F53AE5E0E320</vt:lpwstr>
  </property>
</Properties>
</file>